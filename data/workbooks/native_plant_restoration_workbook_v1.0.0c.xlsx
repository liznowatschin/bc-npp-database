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849c332204c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_Master" sheetId="1" r:id="R959636119ca74cbf"/>
    <x:sheet xmlns:r="http://schemas.openxmlformats.org/officeDocument/2006/relationships" name="Lookup_Tables" sheetId="2" r:id="Rf01a214258ec41c4"/>
    <x:sheet xmlns:r="http://schemas.openxmlformats.org/officeDocument/2006/relationships" name="Reference_Policy" sheetId="3" r:id="Rd2e4ed9364e44511"/>
    <x:sheet xmlns:r="http://schemas.openxmlformats.org/officeDocument/2006/relationships" name="Source_Attribution" sheetId="4" r:id="R96a6adc88ec5468b"/>
    <x:sheet xmlns:r="http://schemas.openxmlformats.org/officeDocument/2006/relationships" name="Bloom_Calendar" sheetId="5" r:id="R8fd1e4439e584cda"/>
    <x:sheet xmlns:r="http://schemas.openxmlformats.org/officeDocument/2006/relationships" name="Dashboard" sheetId="6" r:id="R96d418244fc5473c"/>
    <x:sheet xmlns:r="http://schemas.openxmlformats.org/officeDocument/2006/relationships" name="QA_Log" sheetId="7" r:id="Rb1822a8f9c2d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27674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10061a234549c0" /><Relationship Type="http://schemas.openxmlformats.org/officeDocument/2006/relationships/theme" Target="/xl/theme/theme1.xml" Id="R37ff6785d9664445" /><Relationship Type="http://schemas.openxmlformats.org/officeDocument/2006/relationships/sharedStrings" Target="/xl/sharedStrings.xml" Id="R5ef9f4a04c0b49ee" /><Relationship Type="http://schemas.openxmlformats.org/officeDocument/2006/relationships/worksheet" Target="/xl/worksheets/sheet1.xml" Id="R959636119ca74cbf" /><Relationship Type="http://schemas.openxmlformats.org/officeDocument/2006/relationships/worksheet" Target="/xl/worksheets/sheet2.xml" Id="Rf01a214258ec41c4" /><Relationship Type="http://schemas.openxmlformats.org/officeDocument/2006/relationships/worksheet" Target="/xl/worksheets/sheet3.xml" Id="Rd2e4ed9364e44511" /><Relationship Type="http://schemas.openxmlformats.org/officeDocument/2006/relationships/worksheet" Target="/xl/worksheets/sheet4.xml" Id="R96a6adc88ec5468b" /><Relationship Type="http://schemas.openxmlformats.org/officeDocument/2006/relationships/worksheet" Target="/xl/worksheets/sheet5.xml" Id="R8fd1e4439e584cda" /><Relationship Type="http://schemas.openxmlformats.org/officeDocument/2006/relationships/worksheet" Target="/xl/worksheets/sheet6.xml" Id="R96d418244fc5473c" /><Relationship Type="http://schemas.openxmlformats.org/officeDocument/2006/relationships/worksheet" Target="/xl/worksheets/sheet7.xml" Id="Rb1822a8f9c2d4f8d" /></Relationships>
</file>

<file path=xl/tables/table1.xml><?xml version="1.0" encoding="utf-8"?>
<x:table xmlns:x="http://schemas.openxmlformats.org/spreadsheetml/2006/main" id="1" name="SpeciesMasterTable" displayName="SpeciesMasterTable" ref="A1:AL21" headerRowCount="1">
  <x:tableColumns count="38">
    <x:tableColumn id="1" name="Species_ID"/>
    <x:tableColumn id="2" name="Botanical_Name"/>
    <x:tableColumn id="3" name="Common_Name"/>
    <x:tableColumn id="4" name="Family"/>
    <x:tableColumn id="5" name="Native_Status"/>
    <x:tableColumn id="6" name="CDF_Suitability"/>
    <x:tableColumn id="7" name="CWH_Suitability"/>
    <x:tableColumn id="8" name="Height_cm_Typical"/>
    <x:tableColumn id="9" name="Height_cm_Max"/>
    <x:tableColumn id="10" name="Spread_cm"/>
    <x:tableColumn id="11" name="Life_Cycle"/>
    <x:tableColumn id="12" name="Growth_Form"/>
    <x:tableColumn id="13" name="Root_Architecture"/>
    <x:tableColumn id="14" name="Bloom_Start"/>
    <x:tableColumn id="15" name="Bloom_End"/>
    <x:tableColumn id="16" name="Flower_Color"/>
    <x:tableColumn id="17" name="Light"/>
    <x:tableColumn id="18" name="Moisture"/>
    <x:tableColumn id="19" name="Soil"/>
    <x:tableColumn id="20" name="pH"/>
    <x:tableColumn id="21" name="Nectar_Value"/>
    <x:tableColumn id="22" name="Pollen_Value"/>
    <x:tableColumn id="23" name="Bumble_Bee_Value"/>
    <x:tableColumn id="24" name="Solitary_Bee_Value"/>
    <x:tableColumn id="25" name="Specialist_Bees"/>
    <x:tableColumn id="26" name="Butterfly_Value"/>
    <x:tableColumn id="27" name="Hoverfly_Value"/>
    <x:tableColumn id="28" name="Seeds_per_kg"/>
    <x:tableColumn id="29" name="Dormancy_Class"/>
    <x:tableColumn id="30" name="Stratification"/>
    <x:tableColumn id="31" name="Recommended_Sowing"/>
    <x:tableColumn id="32" name="PLS_Notes"/>
    <x:tableColumn id="33" name="Urban_Suitability"/>
    <x:tableColumn id="34" name="Restoration_Suitability"/>
    <x:tableColumn id="35" name="Evidence_Confidence"/>
    <x:tableColumn id="36" name="Data_Status"/>
    <x:tableColumn id="37" name="Primary_References"/>
    <x:tableColumn id="3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AttributionTable" displayName="SourceAttributionTable" ref="A1:H42" headerRowCount="1">
  <x:tableColumns count="8">
    <x:tableColumn id="1" name="Species_ID"/>
    <x:tableColumn id="2" name="Field"/>
    <x:tableColumn id="3" name="Source_Name"/>
    <x:tableColumn id="4" name="Source_Tier"/>
    <x:tableColumn id="5" name="URL"/>
    <x:tableColumn id="6" name="Use"/>
    <x:tableColumn id="7" name="Confidence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loomCalendarTable" displayName="BloomCalendarTable" ref="A1:N21" headerRowCount="1">
  <x:tableColumns count="14">
    <x:tableColumn id="1" name="Species_ID"/>
    <x:tableColumn id="2" name="Common_Name"/>
    <x:tableColumn id="3" name="Jan"/>
    <x:tableColumn id="4" name="Feb"/>
    <x:tableColumn id="5" name="Mar"/>
    <x:tableColumn id="6" name="Apr"/>
    <x:tableColumn id="7" name="May"/>
    <x:tableColumn id="8" name="Jun"/>
    <x:tableColumn id="9" name="Jul"/>
    <x:tableColumn id="10" name="Aug"/>
    <x:tableColumn id="11" name="Sep"/>
    <x:tableColumn id="12" name="Oct"/>
    <x:tableColumn id="13" name="Nov"/>
    <x:tableColumn id="14" name="Dec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f4c2c786fd48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76a1851e29245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3e58ded8a74403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24" hidden="0" customWidth="1"/>
    <x:col min="3" max="3" width="24" hidden="0" customWidth="1"/>
    <x:col min="4" max="4" width="12" hidden="0" customWidth="1"/>
    <x:col min="5" max="5" width="32.880001068115234" hidden="0" customWidth="1"/>
    <x:col min="6" max="6" width="12.130000114440918" hidden="0" customWidth="1"/>
    <x:col min="7" max="7" width="12.880000114440918" hidden="0" customWidth="1"/>
    <x:col min="8" max="8" width="14.880000114440918" hidden="0" customWidth="1"/>
    <x:col min="9" max="9" width="13" hidden="0" customWidth="1"/>
    <x:col min="10" max="10" width="9" hidden="0" customWidth="1"/>
    <x:col min="11" max="11" width="18.6299991607666" hidden="0" customWidth="1"/>
    <x:col min="12" max="12" width="23.75" hidden="0" customWidth="1"/>
    <x:col min="13" max="13" width="21" hidden="0" customWidth="1"/>
    <x:col min="14" max="14" width="10.130000114440918" hidden="0" customWidth="1"/>
    <x:col min="15" max="15" width="9.25" hidden="0" customWidth="1"/>
    <x:col min="16" max="16" width="17.5" hidden="0" customWidth="1"/>
    <x:col min="17" max="17" width="16.6299991607666" hidden="0" customWidth="1"/>
    <x:col min="18" max="18" width="26.1299991607666" hidden="0" customWidth="1"/>
    <x:col min="19" max="19" width="33" hidden="0" customWidth="1"/>
    <x:col min="20" max="20" width="19.8799991607666" hidden="0" customWidth="1"/>
    <x:col min="21" max="21" width="10.75" hidden="0" customWidth="1"/>
    <x:col min="22" max="22" width="10.5" hidden="0" customWidth="1"/>
    <x:col min="23" max="23" width="15.380000114440918" hidden="0" customWidth="1"/>
    <x:col min="24" max="24" width="15.25" hidden="0" customWidth="1"/>
    <x:col min="25" max="25" width="24" hidden="0" customWidth="1"/>
    <x:col min="26" max="26" width="12.380000114440918" hidden="0" customWidth="1"/>
    <x:col min="27" max="27" width="12.130000114440918" hidden="0" customWidth="1"/>
    <x:col min="28" max="28" width="11.130000114440918" hidden="0" customWidth="1"/>
    <x:col min="29" max="29" width="38.5" hidden="0" customWidth="1"/>
    <x:col min="30" max="30" width="37.75" hidden="0" customWidth="1"/>
    <x:col min="31" max="31" width="30" hidden="0" customWidth="1"/>
    <x:col min="32" max="32" width="30.25" hidden="0" customWidth="1"/>
    <x:col min="33" max="33" width="13.880000114440918" hidden="0" customWidth="1"/>
    <x:col min="34" max="34" width="17.8799991607666" hidden="0" customWidth="1"/>
    <x:col min="35" max="35" width="16.75" hidden="0" customWidth="1"/>
    <x:col min="36" max="36" width="11.75" hidden="0" customWidth="1"/>
    <x:col min="37" max="37" width="24" hidden="0" customWidth="1"/>
    <x:col min="38" max="38" width="24" hidden="0" customWidth="1"/>
  </x:cols>
  <x:sheetData>
    <x:row r="1" ht="24" customHeight="1">
      <x:c r="A1" s="12" t="str">
        <x:v>Species_ID</x:v>
      </x:c>
      <x:c r="B1" s="12" t="str">
        <x:v>Botanical_Name</x:v>
      </x:c>
      <x:c r="C1" s="12" t="str">
        <x:v>Common_Name</x:v>
      </x:c>
      <x:c r="D1" s="12" t="str">
        <x:v>Family</x:v>
      </x:c>
      <x:c r="E1" s="12" t="str">
        <x:v>Native_Status</x:v>
      </x:c>
      <x:c r="F1" s="12" t="str">
        <x:v>CDF_Suitability</x:v>
      </x:c>
      <x:c r="G1" s="12" t="str">
        <x:v>CWH_Suitability</x:v>
      </x:c>
      <x:c r="H1" s="12" t="str">
        <x:v>Height_cm_Typical</x:v>
      </x:c>
      <x:c r="I1" s="12" t="str">
        <x:v>Height_cm_Max</x:v>
      </x:c>
      <x:c r="J1" s="12" t="str">
        <x:v>Spread_cm</x:v>
      </x:c>
      <x:c r="K1" s="12" t="str">
        <x:v>Life_Cycle</x:v>
      </x:c>
      <x:c r="L1" s="12" t="str">
        <x:v>Growth_Form</x:v>
      </x:c>
      <x:c r="M1" s="12" t="str">
        <x:v>Root_Architecture</x:v>
      </x:c>
      <x:c r="N1" s="12" t="str">
        <x:v>Bloom_Start</x:v>
      </x:c>
      <x:c r="O1" s="12" t="str">
        <x:v>Bloom_End</x:v>
      </x:c>
      <x:c r="P1" s="12" t="str">
        <x:v>Flower_Color</x:v>
      </x:c>
      <x:c r="Q1" s="12" t="str">
        <x:v>Light</x:v>
      </x:c>
      <x:c r="R1" s="12" t="str">
        <x:v>Moisture</x:v>
      </x:c>
      <x:c r="S1" s="12" t="str">
        <x:v>Soil</x:v>
      </x:c>
      <x:c r="T1" s="12" t="str">
        <x:v>pH</x:v>
      </x:c>
      <x:c r="U1" s="12" t="str">
        <x:v>Nectar_Value</x:v>
      </x:c>
      <x:c r="V1" s="12" t="str">
        <x:v>Pollen_Value</x:v>
      </x:c>
      <x:c r="W1" s="12" t="str">
        <x:v>Bumble_Bee_Value</x:v>
      </x:c>
      <x:c r="X1" s="12" t="str">
        <x:v>Solitary_Bee_Value</x:v>
      </x:c>
      <x:c r="Y1" s="12" t="str">
        <x:v>Specialist_Bees</x:v>
      </x:c>
      <x:c r="Z1" s="12" t="str">
        <x:v>Butterfly_Value</x:v>
      </x:c>
      <x:c r="AA1" s="12" t="str">
        <x:v>Hoverfly_Value</x:v>
      </x:c>
      <x:c r="AB1" s="12" t="str">
        <x:v>Seeds_per_kg</x:v>
      </x:c>
      <x:c r="AC1" s="12" t="str">
        <x:v>Dormancy_Class</x:v>
      </x:c>
      <x:c r="AD1" s="12" t="str">
        <x:v>Stratification</x:v>
      </x:c>
      <x:c r="AE1" s="12" t="str">
        <x:v>Recommended_Sowing</x:v>
      </x:c>
      <x:c r="AF1" s="12" t="str">
        <x:v>PLS_Notes</x:v>
      </x:c>
      <x:c r="AG1" s="12" t="str">
        <x:v>Urban_Suitability</x:v>
      </x:c>
      <x:c r="AH1" s="13" t="str">
        <x:v>Restoration_Suitability</x:v>
      </x:c>
      <x:c r="AI1" s="13" t="str">
        <x:v>Evidence_Confidence</x:v>
      </x:c>
      <x:c r="AJ1" s="13" t="str">
        <x:v>Data_Status</x:v>
      </x:c>
      <x:c r="AK1" s="13" t="str">
        <x:v>Primary_References</x:v>
      </x:c>
      <x:c r="AL1" s="13" t="str">
        <x:v>Notes</x:v>
      </x:c>
    </x:row>
    <x:row r="2">
      <x:c r="A2" s="24" t="str">
        <x:v>CDF-0001</x:v>
      </x:c>
      <x:c r="B2" s="24" t="str">
        <x:v>Achillea millefolium</x:v>
      </x:c>
      <x:c r="C2" s="24" t="str">
        <x:v>Common Yarrow</x:v>
      </x:c>
      <x:c r="D2" s="24" t="str">
        <x:v>Asteraceae</x:v>
      </x:c>
      <x:c r="E2" s="24" t="str">
        <x:v>Native; common in BC</x:v>
      </x:c>
      <x:c r="F2" s="24" t="str">
        <x:v>High</x:v>
      </x:c>
      <x:c r="G2" s="24" t="str">
        <x:v>High</x:v>
      </x:c>
      <x:c r="H2" s="24" t="n">
        <x:v>30</x:v>
      </x:c>
      <x:c r="I2" s="24" t="n">
        <x:v>60</x:v>
      </x:c>
      <x:c r="J2" s="24" t="n">
        <x:v>45</x:v>
      </x:c>
      <x:c r="K2" s="24" t="str">
        <x:v>Perennial</x:v>
      </x:c>
      <x:c r="L2" s="24" t="str">
        <x:v>Forb</x:v>
      </x:c>
      <x:c r="M2" s="24" t="str">
        <x:v>Rhizomatous/fibrous</x:v>
      </x:c>
      <x:c r="N2" s="24" t="str">
        <x:v>Jun</x:v>
      </x:c>
      <x:c r="O2" s="24" t="str">
        <x:v>Sep</x:v>
      </x:c>
      <x:c r="P2" s="24" t="str">
        <x:v>White to pink</x:v>
      </x:c>
      <x:c r="Q2" s="24" t="str">
        <x:v>Full sun to part sun</x:v>
      </x:c>
      <x:c r="R2" s="24" t="str">
        <x:v>Dry to mesic</x:v>
      </x:c>
      <x:c r="S2" s="24" t="str">
        <x:v>Well-drained; sandy/loamy/rocky</x:v>
      </x:c>
      <x:c r="T2" s="24" t="str">
        <x:v>Neutral to slightly alkaline</x:v>
      </x:c>
      <x:c r="U2" s="24" t="n">
        <x:v>4</x:v>
      </x:c>
      <x:c r="V2" s="24" t="n">
        <x:v>5</x:v>
      </x:c>
      <x:c r="W2" s="24" t="n">
        <x:v>4</x:v>
      </x:c>
      <x:c r="X2" s="24" t="n">
        <x:v>4</x:v>
      </x:c>
      <x:c r="Y2" s="24" t="str">
        <x:v>No confirmed species-level specialist retained yet</x:v>
      </x:c>
      <x:c r="Z2" s="24" t="n">
        <x:v>3</x:v>
      </x:c>
      <x:c r="AA2" s="24" t="n">
        <x:v>4</x:v>
      </x:c>
      <x:c r="AB2" s="24" t="n">
        <x:v>4700000</x:v>
      </x:c>
      <x:c r="AC2" s="24" t="str">
        <x:v>Non-dormant</x:v>
      </x:c>
      <x:c r="AD2" s="24" t="str">
        <x:v>None typically required</x:v>
      </x:c>
      <x:c r="AE2" s="24" t="str">
        <x:v>Fall or early spring</x:v>
      </x:c>
      <x:c r="AF2" s="24" t="str">
        <x:v>High viability; verify local seed lot purity</x:v>
      </x:c>
      <x:c r="AG2" s="24" t="n">
        <x:v>5</x:v>
      </x:c>
      <x:c r="AH2" s="24" t="n">
        <x:v>5</x:v>
      </x:c>
      <x:c r="AI2" s="24" t="str">
        <x:v>B</x:v>
      </x:c>
      <x:c r="AJ2" s="24" t="str">
        <x:v>Reviewed draft</x:v>
      </x:c>
      <x:c r="AK2" s="24" t="str">
        <x:v>E-Flora BC; Native Plant Network; Satinflower</x:v>
      </x:c>
      <x:c r="AL2" s="24" t="str">
        <x:v>Can exceed 60 cm on fertile sites; use low-input/dry sites for lower stature</x:v>
      </x:c>
    </x:row>
    <x:row r="3">
      <x:c r="A3" s="24" t="str">
        <x:v>CDF-0002</x:v>
      </x:c>
      <x:c r="B3" s="24" t="str">
        <x:v>Fragaria virginiana</x:v>
      </x:c>
      <x:c r="C3" s="24" t="str">
        <x:v>Wild Strawberry</x:v>
      </x:c>
      <x:c r="D3" s="24" t="str">
        <x:v>Rosaceae</x:v>
      </x:c>
      <x:c r="E3" s="24" t="str">
        <x:v>Native in BC</x:v>
      </x:c>
      <x:c r="F3" s="24" t="str">
        <x:v>High</x:v>
      </x:c>
      <x:c r="G3" s="24" t="str">
        <x:v>High</x:v>
      </x:c>
      <x:c r="H3" s="24" t="n">
        <x:v>10</x:v>
      </x:c>
      <x:c r="I3" s="24" t="n">
        <x:v>20</x:v>
      </x:c>
      <x:c r="J3" s="24" t="n">
        <x:v>60</x:v>
      </x:c>
      <x:c r="K3" s="24" t="str">
        <x:v>Perennial</x:v>
      </x:c>
      <x:c r="L3" s="24" t="str">
        <x:v>Forb/groundcover</x:v>
      </x:c>
      <x:c r="M3" s="24" t="str">
        <x:v>Stoloniferous fibrous</x:v>
      </x:c>
      <x:c r="N3" s="24" t="str">
        <x:v>Apr</x:v>
      </x:c>
      <x:c r="O3" s="24" t="str">
        <x:v>Jun</x:v>
      </x:c>
      <x:c r="P3" s="24" t="str">
        <x:v>White</x:v>
      </x:c>
      <x:c r="Q3" s="24" t="str">
        <x:v>Full sun to part shade</x:v>
      </x:c>
      <x:c r="R3" s="24" t="str">
        <x:v>Dry to mesic</x:v>
      </x:c>
      <x:c r="S3" s="24" t="str">
        <x:v>Well-drained; sandy/loamy</x:v>
      </x:c>
      <x:c r="T3" s="24" t="str">
        <x:v>Slightly acidic to neutral</x:v>
      </x:c>
      <x:c r="U3" s="24" t="n">
        <x:v>3</x:v>
      </x:c>
      <x:c r="V3" s="24" t="n">
        <x:v>4</x:v>
      </x:c>
      <x:c r="W3" s="24" t="n">
        <x:v>3</x:v>
      </x:c>
      <x:c r="X3" s="24" t="n">
        <x:v>4</x:v>
      </x:c>
      <x:c r="Y3" s="24" t="str">
        <x:v>No confirmed species-level specialist retained yet</x:v>
      </x:c>
      <x:c r="Z3" s="24" t="n">
        <x:v>3</x:v>
      </x:c>
      <x:c r="AA3" s="24" t="n">
        <x:v>3</x:v>
      </x:c>
      <x:c r="AB3" s="24"/>
      <x:c r="AC3" s="24" t="str">
        <x:v>Physiological dormancy probable</x:v>
      </x:c>
      <x:c r="AD3" s="24" t="str">
        <x:v>Cold moist stratification often used</x:v>
      </x:c>
      <x:c r="AE3" s="24" t="str">
        <x:v>Fall sowing or stratified spring sowing</x:v>
      </x:c>
      <x:c r="AF3" s="24" t="str">
        <x:v>Seeds/kg pending</x:v>
      </x:c>
      <x:c r="AG3" s="24" t="n">
        <x:v>5</x:v>
      </x:c>
      <x:c r="AH3" s="24" t="n">
        <x:v>4</x:v>
      </x:c>
      <x:c r="AI3" s="24" t="str">
        <x:v>C</x:v>
      </x:c>
      <x:c r="AJ3" s="24" t="str">
        <x:v>Preliminary</x:v>
      </x:c>
      <x:c r="AK3" s="24" t="str">
        <x:v>E-Flora BC; Satinflower; regional floras</x:v>
      </x:c>
      <x:c r="AL3" s="24" t="str">
        <x:v>Good urban edible groundcover; local provenance recommended</x:v>
      </x:c>
    </x:row>
    <x:row r="4">
      <x:c r="A4" s="24" t="str">
        <x:v>CDF-0003</x:v>
      </x:c>
      <x:c r="B4" s="24" t="str">
        <x:v>Prunella vulgaris var. lanceolata</x:v>
      </x:c>
      <x:c r="C4" s="24" t="str">
        <x:v>Lanceleaf Self-heal</x:v>
      </x:c>
      <x:c r="D4" s="24" t="str">
        <x:v>Lamiaceae</x:v>
      </x:c>
      <x:c r="E4" s="24" t="str">
        <x:v>Native variety in BC</x:v>
      </x:c>
      <x:c r="F4" s="24" t="str">
        <x:v>High</x:v>
      </x:c>
      <x:c r="G4" s="24" t="str">
        <x:v>High</x:v>
      </x:c>
      <x:c r="H4" s="24" t="n">
        <x:v>10</x:v>
      </x:c>
      <x:c r="I4" s="24" t="n">
        <x:v>35</x:v>
      </x:c>
      <x:c r="J4" s="24" t="n">
        <x:v>40</x:v>
      </x:c>
      <x:c r="K4" s="24" t="str">
        <x:v>Perennial</x:v>
      </x:c>
      <x:c r="L4" s="24" t="str">
        <x:v>Forb</x:v>
      </x:c>
      <x:c r="M4" s="24" t="str">
        <x:v>Fibrous; short rhizomes</x:v>
      </x:c>
      <x:c r="N4" s="24" t="str">
        <x:v>Jun</x:v>
      </x:c>
      <x:c r="O4" s="24" t="str">
        <x:v>Sep</x:v>
      </x:c>
      <x:c r="P4" s="24" t="str">
        <x:v>Purple</x:v>
      </x:c>
      <x:c r="Q4" s="24" t="str">
        <x:v>Sun to part shade</x:v>
      </x:c>
      <x:c r="R4" s="24" t="str">
        <x:v>Mesic</x:v>
      </x:c>
      <x:c r="S4" s="24" t="str">
        <x:v>Loamy; tolerates disturbed lawns/meadows</x:v>
      </x:c>
      <x:c r="T4" s="24" t="str">
        <x:v>Slightly acidic to neutral</x:v>
      </x:c>
      <x:c r="U4" s="24" t="n">
        <x:v>4</x:v>
      </x:c>
      <x:c r="V4" s="24" t="n">
        <x:v>4</x:v>
      </x:c>
      <x:c r="W4" s="24" t="n">
        <x:v>4</x:v>
      </x:c>
      <x:c r="X4" s="24" t="n">
        <x:v>4</x:v>
      </x:c>
      <x:c r="Y4" s="24" t="str">
        <x:v>No confirmed species-level specialist retained yet</x:v>
      </x:c>
      <x:c r="Z4" s="24" t="n">
        <x:v>3</x:v>
      </x:c>
      <x:c r="AA4" s="24" t="n">
        <x:v>3</x:v>
      </x:c>
      <x:c r="AB4" s="24"/>
      <x:c r="AC4" s="24" t="str">
        <x:v>Unknown/variable</x:v>
      </x:c>
      <x:c r="AD4" s="24" t="str">
        <x:v>Verify with seed supplier</x:v>
      </x:c>
      <x:c r="AE4" s="24" t="str">
        <x:v>Fall or spring</x:v>
      </x:c>
      <x:c r="AF4" s="24" t="str">
        <x:v>Seeds/kg pending</x:v>
      </x:c>
      <x:c r="AG4" s="24" t="n">
        <x:v>5</x:v>
      </x:c>
      <x:c r="AH4" s="24" t="n">
        <x:v>4</x:v>
      </x:c>
      <x:c r="AI4" s="24" t="str">
        <x:v>C</x:v>
      </x:c>
      <x:c r="AJ4" s="24" t="str">
        <x:v>Preliminary</x:v>
      </x:c>
      <x:c r="AK4" s="24" t="str">
        <x:v>E-Flora BC; Satinflower</x:v>
      </x:c>
      <x:c r="AL4" s="24" t="str">
        <x:v>Strong candidate for mow-tolerant pollinator lawn edges</x:v>
      </x:c>
    </x:row>
    <x:row r="5">
      <x:c r="A5" s="24" t="str">
        <x:v>CDF-0004</x:v>
      </x:c>
      <x:c r="B5" s="24" t="str">
        <x:v>Camassia quamash</x:v>
      </x:c>
      <x:c r="C5" s="24" t="str">
        <x:v>Common Camas</x:v>
      </x:c>
      <x:c r="D5" s="24" t="str">
        <x:v>Asparagaceae</x:v>
      </x:c>
      <x:c r="E5" s="24" t="str">
        <x:v>Native in SW BC</x:v>
      </x:c>
      <x:c r="F5" s="24" t="str">
        <x:v>High</x:v>
      </x:c>
      <x:c r="G5" s="24" t="str">
        <x:v>Medium</x:v>
      </x:c>
      <x:c r="H5" s="24" t="n">
        <x:v>25</x:v>
      </x:c>
      <x:c r="I5" s="24" t="n">
        <x:v>60</x:v>
      </x:c>
      <x:c r="J5" s="24" t="n">
        <x:v>20</x:v>
      </x:c>
      <x:c r="K5" s="24" t="str">
        <x:v>Perennial geophyte</x:v>
      </x:c>
      <x:c r="L5" s="24" t="str">
        <x:v>Bulb-forming forb</x:v>
      </x:c>
      <x:c r="M5" s="24" t="str">
        <x:v>Bulb; contractile roots</x:v>
      </x:c>
      <x:c r="N5" s="24" t="str">
        <x:v>Apr</x:v>
      </x:c>
      <x:c r="O5" s="24" t="str">
        <x:v>Jun</x:v>
      </x:c>
      <x:c r="P5" s="24" t="str">
        <x:v>Blue to purple</x:v>
      </x:c>
      <x:c r="Q5" s="24" t="str">
        <x:v>Full sun</x:v>
      </x:c>
      <x:c r="R5" s="24" t="str">
        <x:v>Winter wet / summer dry to mesic</x:v>
      </x:c>
      <x:c r="S5" s="24" t="str">
        <x:v>Clay/loam; meadows; vernal seepage</x:v>
      </x:c>
      <x:c r="T5" s="24" t="str">
        <x:v>Slightly acidic to neutral</x:v>
      </x:c>
      <x:c r="U5" s="24" t="n">
        <x:v>4</x:v>
      </x:c>
      <x:c r="V5" s="24" t="n">
        <x:v>5</x:v>
      </x:c>
      <x:c r="W5" s="24" t="n">
        <x:v>4</x:v>
      </x:c>
      <x:c r="X5" s="24" t="n">
        <x:v>4</x:v>
      </x:c>
      <x:c r="Y5" s="24" t="str">
        <x:v>No confirmed species-level specialist retained yet</x:v>
      </x:c>
      <x:c r="Z5" s="24" t="n">
        <x:v>2</x:v>
      </x:c>
      <x:c r="AA5" s="24" t="n">
        <x:v>3</x:v>
      </x:c>
      <x:c r="AB5" s="24"/>
      <x:c r="AC5" s="24" t="str">
        <x:v>Morphophysiological/physiological dormancy likely</x:v>
      </x:c>
      <x:c r="AD5" s="24" t="str">
        <x:v>Fall sowing; cold stratification required in practice</x:v>
      </x:c>
      <x:c r="AE5" s="24" t="str">
        <x:v>Fall</x:v>
      </x:c>
      <x:c r="AF5" s="24" t="str">
        <x:v>Bulbs establish faster than seed</x:v>
      </x:c>
      <x:c r="AG5" s="24" t="n">
        <x:v>4</x:v>
      </x:c>
      <x:c r="AH5" s="24" t="n">
        <x:v>5</x:v>
      </x:c>
      <x:c r="AI5" s="24" t="str">
        <x:v>B</x:v>
      </x:c>
      <x:c r="AJ5" s="24" t="str">
        <x:v>Reviewed draft</x:v>
      </x:c>
      <x:c r="AK5" s="24" t="str">
        <x:v>E-Flora BC; Satinflower</x:v>
      </x:c>
      <x:c r="AL5" s="24" t="str">
        <x:v>Excellent CDF/Garry oak meadow flagship species</x:v>
      </x:c>
    </x:row>
    <x:row r="6">
      <x:c r="A6" s="24" t="str">
        <x:v>CDF-0005</x:v>
      </x:c>
      <x:c r="B6" s="24" t="str">
        <x:v>Aquilegia formosa</x:v>
      </x:c>
      <x:c r="C6" s="24" t="str">
        <x:v>Red Columbine</x:v>
      </x:c>
      <x:c r="D6" s="24" t="str">
        <x:v>Ranunculaceae</x:v>
      </x:c>
      <x:c r="E6" s="24" t="str">
        <x:v>Native in BC</x:v>
      </x:c>
      <x:c r="F6" s="24" t="str">
        <x:v>Medium</x:v>
      </x:c>
      <x:c r="G6" s="24" t="str">
        <x:v>High</x:v>
      </x:c>
      <x:c r="H6" s="24" t="n">
        <x:v>30</x:v>
      </x:c>
      <x:c r="I6" s="24" t="n">
        <x:v>60</x:v>
      </x:c>
      <x:c r="J6" s="24" t="n">
        <x:v>35</x:v>
      </x:c>
      <x:c r="K6" s="24" t="str">
        <x:v>Perennial</x:v>
      </x:c>
      <x:c r="L6" s="24" t="str">
        <x:v>Forb</x:v>
      </x:c>
      <x:c r="M6" s="24" t="str">
        <x:v>Fibrous/short caudex</x:v>
      </x:c>
      <x:c r="N6" s="24" t="str">
        <x:v>May</x:v>
      </x:c>
      <x:c r="O6" s="24" t="str">
        <x:v>Aug</x:v>
      </x:c>
      <x:c r="P6" s="24" t="str">
        <x:v>Red/yellow</x:v>
      </x:c>
      <x:c r="Q6" s="24" t="str">
        <x:v>Part shade to sun</x:v>
      </x:c>
      <x:c r="R6" s="24" t="str">
        <x:v>Mesic</x:v>
      </x:c>
      <x:c r="S6" s="24" t="str">
        <x:v>Humus-rich to rocky well-drained</x:v>
      </x:c>
      <x:c r="T6" s="24" t="str">
        <x:v>Slightly acidic to neutral</x:v>
      </x:c>
      <x:c r="U6" s="24" t="n">
        <x:v>5</x:v>
      </x:c>
      <x:c r="V6" s="24" t="n">
        <x:v>3</x:v>
      </x:c>
      <x:c r="W6" s="24" t="n">
        <x:v>5</x:v>
      </x:c>
      <x:c r="X6" s="24" t="n">
        <x:v>3</x:v>
      </x:c>
      <x:c r="Y6" s="24" t="str">
        <x:v>Long-tongued bees and hummingbirds; species-level bee specialist pending</x:v>
      </x:c>
      <x:c r="Z6" s="24" t="n">
        <x:v>3</x:v>
      </x:c>
      <x:c r="AA6" s="24" t="n">
        <x:v>2</x:v>
      </x:c>
      <x:c r="AB6" s="24"/>
      <x:c r="AC6" s="24" t="str">
        <x:v>Physiological dormancy</x:v>
      </x:c>
      <x:c r="AD6" s="24" t="str">
        <x:v>Cold moist stratification commonly recommended</x:v>
      </x:c>
      <x:c r="AE6" s="24" t="str">
        <x:v>Fall or stratified spring sowing</x:v>
      </x:c>
      <x:c r="AF6" s="24" t="str">
        <x:v>Seeds/kg pending</x:v>
      </x:c>
      <x:c r="AG6" s="24" t="n">
        <x:v>4</x:v>
      </x:c>
      <x:c r="AH6" s="24" t="n">
        <x:v>4</x:v>
      </x:c>
      <x:c r="AI6" s="24" t="str">
        <x:v>C</x:v>
      </x:c>
      <x:c r="AJ6" s="24" t="str">
        <x:v>Preliminary</x:v>
      </x:c>
      <x:c r="AK6" s="24" t="str">
        <x:v>E-Flora BC; regional propagation references</x:v>
      </x:c>
      <x:c r="AL6" s="24" t="str">
        <x:v>Better for partial shade and woodland edges</x:v>
      </x:c>
    </x:row>
    <x:row r="7">
      <x:c r="A7" s="24" t="str">
        <x:v>CDF-0006</x:v>
      </x:c>
      <x:c r="B7" s="24" t="str">
        <x:v>Tellima grandiflora</x:v>
      </x:c>
      <x:c r="C7" s="24" t="str">
        <x:v>Fringecup</x:v>
      </x:c>
      <x:c r="D7" s="24" t="str">
        <x:v>Saxifragaceae</x:v>
      </x:c>
      <x:c r="E7" s="24" t="str">
        <x:v>Native in coastal BC</x:v>
      </x:c>
      <x:c r="F7" s="24" t="str">
        <x:v>Medium</x:v>
      </x:c>
      <x:c r="G7" s="24" t="str">
        <x:v>High</x:v>
      </x:c>
      <x:c r="H7" s="24" t="n">
        <x:v>30</x:v>
      </x:c>
      <x:c r="I7" s="24" t="n">
        <x:v>60</x:v>
      </x:c>
      <x:c r="J7" s="24" t="n">
        <x:v>40</x:v>
      </x:c>
      <x:c r="K7" s="24" t="str">
        <x:v>Perennial</x:v>
      </x:c>
      <x:c r="L7" s="24" t="str">
        <x:v>Forb</x:v>
      </x:c>
      <x:c r="M7" s="24" t="str">
        <x:v>Fibrous/rhizomatous crown</x:v>
      </x:c>
      <x:c r="N7" s="24" t="str">
        <x:v>Apr</x:v>
      </x:c>
      <x:c r="O7" s="24" t="str">
        <x:v>Jul</x:v>
      </x:c>
      <x:c r="P7" s="24" t="str">
        <x:v>Greenish white to pink</x:v>
      </x:c>
      <x:c r="Q7" s="24" t="str">
        <x:v>Part shade to shade</x:v>
      </x:c>
      <x:c r="R7" s="24" t="str">
        <x:v>Mesic</x:v>
      </x:c>
      <x:c r="S7" s="24" t="str">
        <x:v>Humus-rich forest soil</x:v>
      </x:c>
      <x:c r="T7" s="24" t="str">
        <x:v>Slightly acidic to neutral</x:v>
      </x:c>
      <x:c r="U7" s="24" t="n">
        <x:v>3</x:v>
      </x:c>
      <x:c r="V7" s="24" t="n">
        <x:v>3</x:v>
      </x:c>
      <x:c r="W7" s="24" t="n">
        <x:v>3</x:v>
      </x:c>
      <x:c r="X7" s="24" t="n">
        <x:v>3</x:v>
      </x:c>
      <x:c r="Y7" s="24" t="str">
        <x:v>No confirmed species-level specialist retained yet</x:v>
      </x:c>
      <x:c r="Z7" s="24" t="n">
        <x:v>2</x:v>
      </x:c>
      <x:c r="AA7" s="24" t="n">
        <x:v>3</x:v>
      </x:c>
      <x:c r="AB7" s="24"/>
      <x:c r="AC7" s="24" t="str">
        <x:v>Unknown/likely physiological</x:v>
      </x:c>
      <x:c r="AD7" s="24" t="str">
        <x:v>Verify protocol</x:v>
      </x:c>
      <x:c r="AE7" s="24" t="str">
        <x:v>Fall or spring after protocol check</x:v>
      </x:c>
      <x:c r="AF7" s="24" t="str">
        <x:v>Seeds/kg pending</x:v>
      </x:c>
      <x:c r="AG7" s="24" t="n">
        <x:v>4</x:v>
      </x:c>
      <x:c r="AH7" s="24" t="n">
        <x:v>4</x:v>
      </x:c>
      <x:c r="AI7" s="24" t="str">
        <x:v>C</x:v>
      </x:c>
      <x:c r="AJ7" s="24" t="str">
        <x:v>Preliminary</x:v>
      </x:c>
      <x:c r="AK7" s="24" t="str">
        <x:v>E-Flora BC; regional floras</x:v>
      </x:c>
      <x:c r="AL7" s="24" t="str">
        <x:v>Useful woodland-edge matrix species</x:v>
      </x:c>
    </x:row>
    <x:row r="8">
      <x:c r="A8" s="24" t="str">
        <x:v>CDF-0007</x:v>
      </x:c>
      <x:c r="B8" s="24" t="str">
        <x:v>Tiarella trifoliata</x:v>
      </x:c>
      <x:c r="C8" s="24" t="str">
        <x:v>Foamflower</x:v>
      </x:c>
      <x:c r="D8" s="24" t="str">
        <x:v>Saxifragaceae</x:v>
      </x:c>
      <x:c r="E8" s="24" t="str">
        <x:v>Native in coastal BC</x:v>
      </x:c>
      <x:c r="F8" s="24" t="str">
        <x:v>Medium</x:v>
      </x:c>
      <x:c r="G8" s="24" t="str">
        <x:v>High</x:v>
      </x:c>
      <x:c r="H8" s="24" t="n">
        <x:v>15</x:v>
      </x:c>
      <x:c r="I8" s="24" t="n">
        <x:v>40</x:v>
      </x:c>
      <x:c r="J8" s="24" t="n">
        <x:v>35</x:v>
      </x:c>
      <x:c r="K8" s="24" t="str">
        <x:v>Perennial</x:v>
      </x:c>
      <x:c r="L8" s="24" t="str">
        <x:v>Forb</x:v>
      </x:c>
      <x:c r="M8" s="24" t="str">
        <x:v>Rhizomatous/fibrous</x:v>
      </x:c>
      <x:c r="N8" s="24" t="str">
        <x:v>Apr</x:v>
      </x:c>
      <x:c r="O8" s="24" t="str">
        <x:v>Jun</x:v>
      </x:c>
      <x:c r="P8" s="24" t="str">
        <x:v>White</x:v>
      </x:c>
      <x:c r="Q8" s="24" t="str">
        <x:v>Part shade to shade</x:v>
      </x:c>
      <x:c r="R8" s="24" t="str">
        <x:v>Mesic to moist</x:v>
      </x:c>
      <x:c r="S8" s="24" t="str">
        <x:v>Humus-rich forest soil</x:v>
      </x:c>
      <x:c r="T8" s="24" t="str">
        <x:v>Acidic to neutral</x:v>
      </x:c>
      <x:c r="U8" s="24" t="n">
        <x:v>3</x:v>
      </x:c>
      <x:c r="V8" s="24" t="n">
        <x:v>3</x:v>
      </x:c>
      <x:c r="W8" s="24" t="n">
        <x:v>3</x:v>
      </x:c>
      <x:c r="X8" s="24" t="n">
        <x:v>3</x:v>
      </x:c>
      <x:c r="Y8" s="24" t="str">
        <x:v>No confirmed species-level specialist retained yet</x:v>
      </x:c>
      <x:c r="Z8" s="24" t="n">
        <x:v>2</x:v>
      </x:c>
      <x:c r="AA8" s="24" t="n">
        <x:v>3</x:v>
      </x:c>
      <x:c r="AB8" s="24"/>
      <x:c r="AC8" s="24" t="str">
        <x:v>Unknown/likely physiological</x:v>
      </x:c>
      <x:c r="AD8" s="24" t="str">
        <x:v>Verify protocol</x:v>
      </x:c>
      <x:c r="AE8" s="24" t="str">
        <x:v>Fall or spring after protocol check</x:v>
      </x:c>
      <x:c r="AF8" s="24" t="str">
        <x:v>Seeds/kg pending</x:v>
      </x:c>
      <x:c r="AG8" s="24" t="n">
        <x:v>4</x:v>
      </x:c>
      <x:c r="AH8" s="24" t="n">
        <x:v>4</x:v>
      </x:c>
      <x:c r="AI8" s="24" t="str">
        <x:v>C</x:v>
      </x:c>
      <x:c r="AJ8" s="24" t="str">
        <x:v>Preliminary</x:v>
      </x:c>
      <x:c r="AK8" s="24" t="str">
        <x:v>E-Flora BC; regional floras</x:v>
      </x:c>
      <x:c r="AL8" s="24" t="str">
        <x:v>Good for moist shade</x:v>
      </x:c>
    </x:row>
    <x:row r="9">
      <x:c r="A9" s="24" t="str">
        <x:v>CDF-0008</x:v>
      </x:c>
      <x:c r="B9" s="24" t="str">
        <x:v>Viola adunca</x:v>
      </x:c>
      <x:c r="C9" s="24" t="str">
        <x:v>Early Blue Violet</x:v>
      </x:c>
      <x:c r="D9" s="24" t="str">
        <x:v>Violaceae</x:v>
      </x:c>
      <x:c r="E9" s="24" t="str">
        <x:v>Native in BC</x:v>
      </x:c>
      <x:c r="F9" s="24" t="str">
        <x:v>High</x:v>
      </x:c>
      <x:c r="G9" s="24" t="str">
        <x:v>High</x:v>
      </x:c>
      <x:c r="H9" s="24" t="n">
        <x:v>5</x:v>
      </x:c>
      <x:c r="I9" s="24" t="n">
        <x:v>20</x:v>
      </x:c>
      <x:c r="J9" s="24" t="n">
        <x:v>25</x:v>
      </x:c>
      <x:c r="K9" s="24" t="str">
        <x:v>Perennial</x:v>
      </x:c>
      <x:c r="L9" s="24" t="str">
        <x:v>Forb</x:v>
      </x:c>
      <x:c r="M9" s="24" t="str">
        <x:v>Short rhizome/fibrous</x:v>
      </x:c>
      <x:c r="N9" s="24" t="str">
        <x:v>Mar</x:v>
      </x:c>
      <x:c r="O9" s="24" t="str">
        <x:v>Jun</x:v>
      </x:c>
      <x:c r="P9" s="24" t="str">
        <x:v>Blue to violet</x:v>
      </x:c>
      <x:c r="Q9" s="24" t="str">
        <x:v>Sun to part shade</x:v>
      </x:c>
      <x:c r="R9" s="24" t="str">
        <x:v>Dry to mesic</x:v>
      </x:c>
      <x:c r="S9" s="24" t="str">
        <x:v>Well-drained sandy/loamy</x:v>
      </x:c>
      <x:c r="T9" s="24" t="str">
        <x:v>Slightly acidic to neutral</x:v>
      </x:c>
      <x:c r="U9" s="24" t="n">
        <x:v>3</x:v>
      </x:c>
      <x:c r="V9" s="24" t="n">
        <x:v>4</x:v>
      </x:c>
      <x:c r="W9" s="24" t="n">
        <x:v>3</x:v>
      </x:c>
      <x:c r="X9" s="24" t="n">
        <x:v>4</x:v>
      </x:c>
      <x:c r="Y9" s="24" t="str">
        <x:v>Potential host for violet-associated specialist/oligolectic bees; verify</x:v>
      </x:c>
      <x:c r="Z9" s="24" t="n">
        <x:v>5</x:v>
      </x:c>
      <x:c r="AA9" s="24" t="n">
        <x:v>2</x:v>
      </x:c>
      <x:c r="AB9" s="24"/>
      <x:c r="AC9" s="24" t="str">
        <x:v>Physiological dormancy</x:v>
      </x:c>
      <x:c r="AD9" s="24" t="str">
        <x:v>Cold moist stratification commonly used</x:v>
      </x:c>
      <x:c r="AE9" s="24" t="str">
        <x:v>Fall</x:v>
      </x:c>
      <x:c r="AF9" s="24" t="str">
        <x:v>Seeds/kg pending</x:v>
      </x:c>
      <x:c r="AG9" s="24" t="n">
        <x:v>5</x:v>
      </x:c>
      <x:c r="AH9" s="24" t="n">
        <x:v>4</x:v>
      </x:c>
      <x:c r="AI9" s="24" t="str">
        <x:v>C</x:v>
      </x:c>
      <x:c r="AJ9" s="24" t="str">
        <x:v>Preliminary</x:v>
      </x:c>
      <x:c r="AK9" s="24" t="str">
        <x:v>E-Flora BC; Xerces-host plant guidance; regional floras</x:v>
      </x:c>
      <x:c r="AL9" s="24" t="str">
        <x:v>Also important for fritillary butterfly larval host value</x:v>
      </x:c>
    </x:row>
    <x:row r="10">
      <x:c r="A10" s="24" t="str">
        <x:v>CDF-0009</x:v>
      </x:c>
      <x:c r="B10" s="24" t="str">
        <x:v>Viola glabella</x:v>
      </x:c>
      <x:c r="C10" s="24" t="str">
        <x:v>Stream Violet</x:v>
      </x:c>
      <x:c r="D10" s="24" t="str">
        <x:v>Violaceae</x:v>
      </x:c>
      <x:c r="E10" s="24" t="str">
        <x:v>Native in BC</x:v>
      </x:c>
      <x:c r="F10" s="24" t="str">
        <x:v>Medium</x:v>
      </x:c>
      <x:c r="G10" s="24" t="str">
        <x:v>High</x:v>
      </x:c>
      <x:c r="H10" s="24" t="n">
        <x:v>10</x:v>
      </x:c>
      <x:c r="I10" s="24" t="n">
        <x:v>30</x:v>
      </x:c>
      <x:c r="J10" s="24" t="n">
        <x:v>25</x:v>
      </x:c>
      <x:c r="K10" s="24" t="str">
        <x:v>Perennial</x:v>
      </x:c>
      <x:c r="L10" s="24" t="str">
        <x:v>Forb</x:v>
      </x:c>
      <x:c r="M10" s="24" t="str">
        <x:v>Rhizomatous/fibrous</x:v>
      </x:c>
      <x:c r="N10" s="24" t="str">
        <x:v>Apr</x:v>
      </x:c>
      <x:c r="O10" s="24" t="str">
        <x:v>Jul</x:v>
      </x:c>
      <x:c r="P10" s="24" t="str">
        <x:v>Yellow</x:v>
      </x:c>
      <x:c r="Q10" s="24" t="str">
        <x:v>Part shade to shade</x:v>
      </x:c>
      <x:c r="R10" s="24" t="str">
        <x:v>Moist</x:v>
      </x:c>
      <x:c r="S10" s="24" t="str">
        <x:v>Rich moist forest soil</x:v>
      </x:c>
      <x:c r="T10" s="24" t="str">
        <x:v>Slightly acidic to neutral</x:v>
      </x:c>
      <x:c r="U10" s="24" t="n">
        <x:v>3</x:v>
      </x:c>
      <x:c r="V10" s="24" t="n">
        <x:v>4</x:v>
      </x:c>
      <x:c r="W10" s="24" t="n">
        <x:v>3</x:v>
      </x:c>
      <x:c r="X10" s="24" t="n">
        <x:v>3</x:v>
      </x:c>
      <x:c r="Y10" s="24" t="str">
        <x:v>Potential violet-associated specialist bees; verify</x:v>
      </x:c>
      <x:c r="Z10" s="24" t="n">
        <x:v>5</x:v>
      </x:c>
      <x:c r="AA10" s="24" t="n">
        <x:v>2</x:v>
      </x:c>
      <x:c r="AB10" s="24"/>
      <x:c r="AC10" s="24" t="str">
        <x:v>Physiological dormancy</x:v>
      </x:c>
      <x:c r="AD10" s="24" t="str">
        <x:v>Cold moist stratification commonly used</x:v>
      </x:c>
      <x:c r="AE10" s="24" t="str">
        <x:v>Fall</x:v>
      </x:c>
      <x:c r="AF10" s="24" t="str">
        <x:v>Seeds/kg pending</x:v>
      </x:c>
      <x:c r="AG10" s="24" t="n">
        <x:v>3</x:v>
      </x:c>
      <x:c r="AH10" s="24" t="n">
        <x:v>4</x:v>
      </x:c>
      <x:c r="AI10" s="24" t="str">
        <x:v>C</x:v>
      </x:c>
      <x:c r="AJ10" s="24" t="str">
        <x:v>Preliminary</x:v>
      </x:c>
      <x:c r="AK10" s="24" t="str">
        <x:v>E-Flora BC; regional floras</x:v>
      </x:c>
      <x:c r="AL10" s="24" t="str">
        <x:v>Best for moist woodland restoration</x:v>
      </x:c>
    </x:row>
    <x:row r="11">
      <x:c r="A11" s="24" t="str">
        <x:v>CDF-0010</x:v>
      </x:c>
      <x:c r="B11" s="24" t="str">
        <x:v>Dicentra formosa</x:v>
      </x:c>
      <x:c r="C11" s="24" t="str">
        <x:v>Pacific Bleeding Heart</x:v>
      </x:c>
      <x:c r="D11" s="24" t="str">
        <x:v>Papaveraceae</x:v>
      </x:c>
      <x:c r="E11" s="24" t="str">
        <x:v>Native in coastal BC</x:v>
      </x:c>
      <x:c r="F11" s="24" t="str">
        <x:v>Medium</x:v>
      </x:c>
      <x:c r="G11" s="24" t="str">
        <x:v>High</x:v>
      </x:c>
      <x:c r="H11" s="24" t="n">
        <x:v>20</x:v>
      </x:c>
      <x:c r="I11" s="24" t="n">
        <x:v>50</x:v>
      </x:c>
      <x:c r="J11" s="24" t="n">
        <x:v>45</x:v>
      </x:c>
      <x:c r="K11" s="24" t="str">
        <x:v>Perennial</x:v>
      </x:c>
      <x:c r="L11" s="24" t="str">
        <x:v>Forb</x:v>
      </x:c>
      <x:c r="M11" s="24" t="str">
        <x:v>Rhizomatous</x:v>
      </x:c>
      <x:c r="N11" s="24" t="str">
        <x:v>Mar</x:v>
      </x:c>
      <x:c r="O11" s="24" t="str">
        <x:v>Jul</x:v>
      </x:c>
      <x:c r="P11" s="24" t="str">
        <x:v>Pink</x:v>
      </x:c>
      <x:c r="Q11" s="24" t="str">
        <x:v>Part shade to shade</x:v>
      </x:c>
      <x:c r="R11" s="24" t="str">
        <x:v>Mesic to moist</x:v>
      </x:c>
      <x:c r="S11" s="24" t="str">
        <x:v>Humus-rich forest soil</x:v>
      </x:c>
      <x:c r="T11" s="24" t="str">
        <x:v>Acidic to neutral</x:v>
      </x:c>
      <x:c r="U11" s="24" t="n">
        <x:v>4</x:v>
      </x:c>
      <x:c r="V11" s="24" t="n">
        <x:v>3</x:v>
      </x:c>
      <x:c r="W11" s="24" t="n">
        <x:v>4</x:v>
      </x:c>
      <x:c r="X11" s="24" t="n">
        <x:v>2</x:v>
      </x:c>
      <x:c r="Y11" s="24" t="str">
        <x:v>Long-tongued bees; species-level specialist pending</x:v>
      </x:c>
      <x:c r="Z11" s="24" t="n">
        <x:v>2</x:v>
      </x:c>
      <x:c r="AA11" s="24" t="n">
        <x:v>2</x:v>
      </x:c>
      <x:c r="AB11" s="24"/>
      <x:c r="AC11" s="24" t="str">
        <x:v>Unknown/complex dormancy possible</x:v>
      </x:c>
      <x:c r="AD11" s="24" t="str">
        <x:v>Verify; fresh seed may matter</x:v>
      </x:c>
      <x:c r="AE11" s="24" t="str">
        <x:v>Fall/fresh seed</x:v>
      </x:c>
      <x:c r="AF11" s="24" t="str">
        <x:v>Seeds/kg pending</x:v>
      </x:c>
      <x:c r="AG11" s="24" t="n">
        <x:v>4</x:v>
      </x:c>
      <x:c r="AH11" s="24" t="n">
        <x:v>4</x:v>
      </x:c>
      <x:c r="AI11" s="24" t="str">
        <x:v>C</x:v>
      </x:c>
      <x:c r="AJ11" s="24" t="str">
        <x:v>Preliminary</x:v>
      </x:c>
      <x:c r="AK11" s="24" t="str">
        <x:v>E-Flora BC; regional floras</x:v>
      </x:c>
      <x:c r="AL11" s="24" t="str">
        <x:v>Good early-season woodland nectar</x:v>
      </x:c>
    </x:row>
    <x:row r="12">
      <x:c r="A12" s="24" t="str">
        <x:v>CDF-0011</x:v>
      </x:c>
      <x:c r="B12" s="24" t="str">
        <x:v>Allium cernuum</x:v>
      </x:c>
      <x:c r="C12" s="24" t="str">
        <x:v>Nodding Onion</x:v>
      </x:c>
      <x:c r="D12" s="24" t="str">
        <x:v>Amaryllidaceae</x:v>
      </x:c>
      <x:c r="E12" s="24" t="str">
        <x:v>Native in BC</x:v>
      </x:c>
      <x:c r="F12" s="24" t="str">
        <x:v>Medium</x:v>
      </x:c>
      <x:c r="G12" s="24" t="str">
        <x:v>Medium</x:v>
      </x:c>
      <x:c r="H12" s="24" t="n">
        <x:v>25</x:v>
      </x:c>
      <x:c r="I12" s="24" t="n">
        <x:v>50</x:v>
      </x:c>
      <x:c r="J12" s="24" t="n">
        <x:v>20</x:v>
      </x:c>
      <x:c r="K12" s="24" t="str">
        <x:v>Perennial geophyte</x:v>
      </x:c>
      <x:c r="L12" s="24" t="str">
        <x:v>Bulb-forming forb</x:v>
      </x:c>
      <x:c r="M12" s="24" t="str">
        <x:v>Bulb/fibrous roots</x:v>
      </x:c>
      <x:c r="N12" s="24" t="str">
        <x:v>Jun</x:v>
      </x:c>
      <x:c r="O12" s="24" t="str">
        <x:v>Aug</x:v>
      </x:c>
      <x:c r="P12" s="24" t="str">
        <x:v>Pink to lavender</x:v>
      </x:c>
      <x:c r="Q12" s="24" t="str">
        <x:v>Full sun</x:v>
      </x:c>
      <x:c r="R12" s="24" t="str">
        <x:v>Dry to mesic</x:v>
      </x:c>
      <x:c r="S12" s="24" t="str">
        <x:v>Well-drained rocky/loamy</x:v>
      </x:c>
      <x:c r="T12" s="24" t="str">
        <x:v>Neutral to alkaline</x:v>
      </x:c>
      <x:c r="U12" s="24" t="n">
        <x:v>4</x:v>
      </x:c>
      <x:c r="V12" s="24" t="n">
        <x:v>4</x:v>
      </x:c>
      <x:c r="W12" s="24" t="n">
        <x:v>4</x:v>
      </x:c>
      <x:c r="X12" s="24" t="n">
        <x:v>4</x:v>
      </x:c>
      <x:c r="Y12" s="24" t="str">
        <x:v>Onion-associated bee specialists possible; verify BC records</x:v>
      </x:c>
      <x:c r="Z12" s="24" t="n">
        <x:v>3</x:v>
      </x:c>
      <x:c r="AA12" s="24" t="n">
        <x:v>4</x:v>
      </x:c>
      <x:c r="AB12" s="24"/>
      <x:c r="AC12" s="24" t="str">
        <x:v>Physiological dormancy</x:v>
      </x:c>
      <x:c r="AD12" s="24" t="str">
        <x:v>Cold moist stratification commonly used</x:v>
      </x:c>
      <x:c r="AE12" s="24" t="str">
        <x:v>Fall</x:v>
      </x:c>
      <x:c r="AF12" s="24" t="str">
        <x:v>Seeds/kg pending</x:v>
      </x:c>
      <x:c r="AG12" s="24" t="n">
        <x:v>4</x:v>
      </x:c>
      <x:c r="AH12" s="24" t="n">
        <x:v>4</x:v>
      </x:c>
      <x:c r="AI12" s="24" t="str">
        <x:v>C</x:v>
      </x:c>
      <x:c r="AJ12" s="24" t="str">
        <x:v>Preliminary</x:v>
      </x:c>
      <x:c r="AK12" s="24" t="str">
        <x:v>E-Flora BC; Satinflower; regional floras</x:v>
      </x:c>
      <x:c r="AL12" s="24" t="str">
        <x:v>Useful late-summer nectar resource</x:v>
      </x:c>
    </x:row>
    <x:row r="13">
      <x:c r="A13" s="24" t="str">
        <x:v>CDF-0012</x:v>
      </x:c>
      <x:c r="B13" s="24" t="str">
        <x:v>Eriophyllum lanatum</x:v>
      </x:c>
      <x:c r="C13" s="24" t="str">
        <x:v>Oregon Sunshine</x:v>
      </x:c>
      <x:c r="D13" s="24" t="str">
        <x:v>Asteraceae</x:v>
      </x:c>
      <x:c r="E13" s="24" t="str">
        <x:v>Native in SW BC/Garry oak systems</x:v>
      </x:c>
      <x:c r="F13" s="24" t="str">
        <x:v>High</x:v>
      </x:c>
      <x:c r="G13" s="24" t="str">
        <x:v>Low</x:v>
      </x:c>
      <x:c r="H13" s="24" t="n">
        <x:v>15</x:v>
      </x:c>
      <x:c r="I13" s="24" t="n">
        <x:v>45</x:v>
      </x:c>
      <x:c r="J13" s="24" t="n">
        <x:v>40</x:v>
      </x:c>
      <x:c r="K13" s="24" t="str">
        <x:v>Perennial subshrub/forb</x:v>
      </x:c>
      <x:c r="L13" s="24" t="str">
        <x:v>Forb/subshrub</x:v>
      </x:c>
      <x:c r="M13" s="24" t="str">
        <x:v>Taproot/fibrous crown</x:v>
      </x:c>
      <x:c r="N13" s="24" t="str">
        <x:v>May</x:v>
      </x:c>
      <x:c r="O13" s="24" t="str">
        <x:v>Aug</x:v>
      </x:c>
      <x:c r="P13" s="24" t="str">
        <x:v>Yellow</x:v>
      </x:c>
      <x:c r="Q13" s="24" t="str">
        <x:v>Full sun</x:v>
      </x:c>
      <x:c r="R13" s="24" t="str">
        <x:v>Dry</x:v>
      </x:c>
      <x:c r="S13" s="24" t="str">
        <x:v>Rocky/sandy well-drained</x:v>
      </x:c>
      <x:c r="T13" s="24" t="str">
        <x:v>Neutral to slightly alkaline</x:v>
      </x:c>
      <x:c r="U13" s="24" t="n">
        <x:v>4</x:v>
      </x:c>
      <x:c r="V13" s="24" t="n">
        <x:v>5</x:v>
      </x:c>
      <x:c r="W13" s="24" t="n">
        <x:v>4</x:v>
      </x:c>
      <x:c r="X13" s="24" t="n">
        <x:v>5</x:v>
      </x:c>
      <x:c r="Y13" s="24" t="str">
        <x:v>Asteraceae-associated solitary bees; species-level records pending</x:v>
      </x:c>
      <x:c r="Z13" s="24" t="n">
        <x:v>4</x:v>
      </x:c>
      <x:c r="AA13" s="24" t="n">
        <x:v>4</x:v>
      </x:c>
      <x:c r="AB13" s="24"/>
      <x:c r="AC13" s="24" t="str">
        <x:v>Likely non-dormant to mild dormancy</x:v>
      </x:c>
      <x:c r="AD13" s="24" t="str">
        <x:v>Verify protocol</x:v>
      </x:c>
      <x:c r="AE13" s="24" t="str">
        <x:v>Fall or spring</x:v>
      </x:c>
      <x:c r="AF13" s="24" t="str">
        <x:v>Seeds/kg pending</x:v>
      </x:c>
      <x:c r="AG13" s="24" t="n">
        <x:v>5</x:v>
      </x:c>
      <x:c r="AH13" s="24" t="n">
        <x:v>5</x:v>
      </x:c>
      <x:c r="AI13" s="24" t="str">
        <x:v>C</x:v>
      </x:c>
      <x:c r="AJ13" s="24" t="str">
        <x:v>Preliminary</x:v>
      </x:c>
      <x:c r="AK13" s="24" t="str">
        <x:v>E-Flora BC; Satinflower; regional restoration sources</x:v>
      </x:c>
      <x:c r="AL13" s="24" t="str">
        <x:v>Excellent drought-tolerant CDF meadow species</x:v>
      </x:c>
    </x:row>
    <x:row r="14">
      <x:c r="A14" s="24" t="str">
        <x:v>CDF-0013</x:v>
      </x:c>
      <x:c r="B14" s="24" t="str">
        <x:v>Lomatium nudicaule</x:v>
      </x:c>
      <x:c r="C14" s="24" t="str">
        <x:v>Bare-stem Desert-parsley</x:v>
      </x:c>
      <x:c r="D14" s="24" t="str">
        <x:v>Apiaceae</x:v>
      </x:c>
      <x:c r="E14" s="24" t="str">
        <x:v>Native in coastal dry meadow/bluff systems</x:v>
      </x:c>
      <x:c r="F14" s="24" t="str">
        <x:v>High</x:v>
      </x:c>
      <x:c r="G14" s="24" t="str">
        <x:v>Low</x:v>
      </x:c>
      <x:c r="H14" s="24" t="n">
        <x:v>20</x:v>
      </x:c>
      <x:c r="I14" s="24" t="n">
        <x:v>50</x:v>
      </x:c>
      <x:c r="J14" s="24" t="n">
        <x:v>25</x:v>
      </x:c>
      <x:c r="K14" s="24" t="str">
        <x:v>Perennial</x:v>
      </x:c>
      <x:c r="L14" s="24" t="str">
        <x:v>Forb</x:v>
      </x:c>
      <x:c r="M14" s="24" t="str">
        <x:v>Taproot</x:v>
      </x:c>
      <x:c r="N14" s="24" t="str">
        <x:v>Apr</x:v>
      </x:c>
      <x:c r="O14" s="24" t="str">
        <x:v>Jun</x:v>
      </x:c>
      <x:c r="P14" s="24" t="str">
        <x:v>Yellow</x:v>
      </x:c>
      <x:c r="Q14" s="24" t="str">
        <x:v>Full sun</x:v>
      </x:c>
      <x:c r="R14" s="24" t="str">
        <x:v>Dry to mesic winter/spring</x:v>
      </x:c>
      <x:c r="S14" s="24" t="str">
        <x:v>Well-drained rocky/loamy</x:v>
      </x:c>
      <x:c r="T14" s="24" t="str">
        <x:v>Neutral</x:v>
      </x:c>
      <x:c r="U14" s="24" t="n">
        <x:v>4</x:v>
      </x:c>
      <x:c r="V14" s="24" t="n">
        <x:v>4</x:v>
      </x:c>
      <x:c r="W14" s="24" t="n">
        <x:v>3</x:v>
      </x:c>
      <x:c r="X14" s="24" t="n">
        <x:v>4</x:v>
      </x:c>
      <x:c r="Y14" s="24" t="str">
        <x:v>Apiaceae-associated small bees/flies; specialist records pending</x:v>
      </x:c>
      <x:c r="Z14" s="24" t="n">
        <x:v>3</x:v>
      </x:c>
      <x:c r="AA14" s="24" t="n">
        <x:v>5</x:v>
      </x:c>
      <x:c r="AB14" s="24"/>
      <x:c r="AC14" s="24" t="str">
        <x:v>Physiological dormancy likely</x:v>
      </x:c>
      <x:c r="AD14" s="24" t="str">
        <x:v>Fall sowing; cold stratification likely</x:v>
      </x:c>
      <x:c r="AE14" s="24" t="str">
        <x:v>Fall</x:v>
      </x:c>
      <x:c r="AF14" s="24" t="str">
        <x:v>Seeds/kg pending</x:v>
      </x:c>
      <x:c r="AG14" s="24" t="n">
        <x:v>3</x:v>
      </x:c>
      <x:c r="AH14" s="24" t="n">
        <x:v>5</x:v>
      </x:c>
      <x:c r="AI14" s="24" t="str">
        <x:v>C</x:v>
      </x:c>
      <x:c r="AJ14" s="24" t="str">
        <x:v>Preliminary</x:v>
      </x:c>
      <x:c r="AK14" s="24" t="str">
        <x:v>E-Flora BC; Satinflower; regional floras</x:v>
      </x:c>
      <x:c r="AL14" s="24" t="str">
        <x:v>Strong early-season resource; taproot makes transplanting difficult</x:v>
      </x:c>
    </x:row>
    <x:row r="15">
      <x:c r="A15" s="24" t="str">
        <x:v>CDF-0014</x:v>
      </x:c>
      <x:c r="B15" s="24" t="str">
        <x:v>Plectritis congesta</x:v>
      </x:c>
      <x:c r="C15" s="24" t="str">
        <x:v>Sea Blush</x:v>
      </x:c>
      <x:c r="D15" s="24" t="str">
        <x:v>Caprifoliaceae</x:v>
      </x:c>
      <x:c r="E15" s="24" t="str">
        <x:v>Native in coastal BC</x:v>
      </x:c>
      <x:c r="F15" s="24" t="str">
        <x:v>High</x:v>
      </x:c>
      <x:c r="G15" s="24" t="str">
        <x:v>Low</x:v>
      </x:c>
      <x:c r="H15" s="24" t="n">
        <x:v>10</x:v>
      </x:c>
      <x:c r="I15" s="24" t="n">
        <x:v>40</x:v>
      </x:c>
      <x:c r="J15" s="24" t="n">
        <x:v>25</x:v>
      </x:c>
      <x:c r="K15" s="24" t="str">
        <x:v>Annual</x:v>
      </x:c>
      <x:c r="L15" s="24" t="str">
        <x:v>Forb</x:v>
      </x:c>
      <x:c r="M15" s="24" t="str">
        <x:v>Fibrous</x:v>
      </x:c>
      <x:c r="N15" s="24" t="str">
        <x:v>Apr</x:v>
      </x:c>
      <x:c r="O15" s="24" t="str">
        <x:v>Jun</x:v>
      </x:c>
      <x:c r="P15" s="24" t="str">
        <x:v>Pink</x:v>
      </x:c>
      <x:c r="Q15" s="24" t="str">
        <x:v>Full sun</x:v>
      </x:c>
      <x:c r="R15" s="24" t="str">
        <x:v>Vernal moist to summer dry</x:v>
      </x:c>
      <x:c r="S15" s="24" t="str">
        <x:v>Shallow rocky/meadow soils</x:v>
      </x:c>
      <x:c r="T15" s="24" t="str">
        <x:v>Slightly acidic to neutral</x:v>
      </x:c>
      <x:c r="U15" s="24" t="n">
        <x:v>3</x:v>
      </x:c>
      <x:c r="V15" s="24" t="n">
        <x:v>4</x:v>
      </x:c>
      <x:c r="W15" s="24" t="n">
        <x:v>3</x:v>
      </x:c>
      <x:c r="X15" s="24" t="n">
        <x:v>4</x:v>
      </x:c>
      <x:c r="Y15" s="24" t="str">
        <x:v>No confirmed species-level specialist retained yet</x:v>
      </x:c>
      <x:c r="Z15" s="24" t="n">
        <x:v>2</x:v>
      </x:c>
      <x:c r="AA15" s="24" t="n">
        <x:v>4</x:v>
      </x:c>
      <x:c r="AB15" s="24"/>
      <x:c r="AC15" s="24" t="str">
        <x:v>Likely non-deep physiological dormancy</x:v>
      </x:c>
      <x:c r="AD15" s="24" t="str">
        <x:v>Fall sowing preferred</x:v>
      </x:c>
      <x:c r="AE15" s="24" t="str">
        <x:v>Fall</x:v>
      </x:c>
      <x:c r="AF15" s="24" t="str">
        <x:v>Annual; allow reseeding</x:v>
      </x:c>
      <x:c r="AG15" s="24" t="n">
        <x:v>4</x:v>
      </x:c>
      <x:c r="AH15" s="24" t="n">
        <x:v>4</x:v>
      </x:c>
      <x:c r="AI15" s="24" t="str">
        <x:v>C</x:v>
      </x:c>
      <x:c r="AJ15" s="24" t="str">
        <x:v>Preliminary</x:v>
      </x:c>
      <x:c r="AK15" s="24" t="str">
        <x:v>E-Flora BC; Satinflower</x:v>
      </x:c>
      <x:c r="AL15" s="24" t="str">
        <x:v>Good spring annual for CDF meadow pockets</x:v>
      </x:c>
    </x:row>
    <x:row r="16">
      <x:c r="A16" s="24" t="str">
        <x:v>CDF-0015</x:v>
      </x:c>
      <x:c r="B16" s="24" t="str">
        <x:v>Collinsia parviflora</x:v>
      </x:c>
      <x:c r="C16" s="24" t="str">
        <x:v>Small-flowered Blue-eyed Mary</x:v>
      </x:c>
      <x:c r="D16" s="24" t="str">
        <x:v>Plantaginaceae</x:v>
      </x:c>
      <x:c r="E16" s="24" t="str">
        <x:v>Native in BC</x:v>
      </x:c>
      <x:c r="F16" s="24" t="str">
        <x:v>High</x:v>
      </x:c>
      <x:c r="G16" s="24" t="str">
        <x:v>Medium</x:v>
      </x:c>
      <x:c r="H16" s="24" t="n">
        <x:v>5</x:v>
      </x:c>
      <x:c r="I16" s="24" t="n">
        <x:v>30</x:v>
      </x:c>
      <x:c r="J16" s="24" t="n">
        <x:v>20</x:v>
      </x:c>
      <x:c r="K16" s="24" t="str">
        <x:v>Annual</x:v>
      </x:c>
      <x:c r="L16" s="24" t="str">
        <x:v>Forb</x:v>
      </x:c>
      <x:c r="M16" s="24" t="str">
        <x:v>Fibrous</x:v>
      </x:c>
      <x:c r="N16" s="24" t="str">
        <x:v>Mar</x:v>
      </x:c>
      <x:c r="O16" s="24" t="str">
        <x:v>Jun</x:v>
      </x:c>
      <x:c r="P16" s="24" t="str">
        <x:v>Blue/white</x:v>
      </x:c>
      <x:c r="Q16" s="24" t="str">
        <x:v>Sun to part shade</x:v>
      </x:c>
      <x:c r="R16" s="24" t="str">
        <x:v>Mesic spring; summer dry</x:v>
      </x:c>
      <x:c r="S16" s="24" t="str">
        <x:v>Open woods/meadows</x:v>
      </x:c>
      <x:c r="T16" s="24" t="str">
        <x:v>Slightly acidic to neutral</x:v>
      </x:c>
      <x:c r="U16" s="24" t="n">
        <x:v>3</x:v>
      </x:c>
      <x:c r="V16" s="24" t="n">
        <x:v>3</x:v>
      </x:c>
      <x:c r="W16" s="24" t="n">
        <x:v>3</x:v>
      </x:c>
      <x:c r="X16" s="24" t="n">
        <x:v>4</x:v>
      </x:c>
      <x:c r="Y16" s="24" t="str">
        <x:v>No confirmed species-level specialist retained yet</x:v>
      </x:c>
      <x:c r="Z16" s="24" t="n">
        <x:v>2</x:v>
      </x:c>
      <x:c r="AA16" s="24" t="n">
        <x:v>3</x:v>
      </x:c>
      <x:c r="AB16" s="24"/>
      <x:c r="AC16" s="24" t="str">
        <x:v>Likely physiological dormancy</x:v>
      </x:c>
      <x:c r="AD16" s="24" t="str">
        <x:v>Fall sowing preferred</x:v>
      </x:c>
      <x:c r="AE16" s="24" t="str">
        <x:v>Fall</x:v>
      </x:c>
      <x:c r="AF16" s="24" t="str">
        <x:v>Annual; allow reseeding</x:v>
      </x:c>
      <x:c r="AG16" s="24" t="n">
        <x:v>4</x:v>
      </x:c>
      <x:c r="AH16" s="24" t="n">
        <x:v>4</x:v>
      </x:c>
      <x:c r="AI16" s="24" t="str">
        <x:v>C</x:v>
      </x:c>
      <x:c r="AJ16" s="24" t="str">
        <x:v>Preliminary</x:v>
      </x:c>
      <x:c r="AK16" s="24" t="str">
        <x:v>E-Flora BC; regional floras</x:v>
      </x:c>
      <x:c r="AL16" s="24" t="str">
        <x:v>Early spring annual; useful in open microsites</x:v>
      </x:c>
    </x:row>
    <x:row r="17">
      <x:c r="A17" s="24" t="str">
        <x:v>CDF-0016</x:v>
      </x:c>
      <x:c r="B17" s="24" t="str">
        <x:v>Clinopodium douglasii</x:v>
      </x:c>
      <x:c r="C17" s="24" t="str">
        <x:v>Yerba Buena</x:v>
      </x:c>
      <x:c r="D17" s="24" t="str">
        <x:v>Lamiaceae</x:v>
      </x:c>
      <x:c r="E17" s="24" t="str">
        <x:v>Native in coastal BC</x:v>
      </x:c>
      <x:c r="F17" s="24" t="str">
        <x:v>Medium</x:v>
      </x:c>
      <x:c r="G17" s="24" t="str">
        <x:v>High</x:v>
      </x:c>
      <x:c r="H17" s="24" t="n">
        <x:v>5</x:v>
      </x:c>
      <x:c r="I17" s="24" t="n">
        <x:v>15</x:v>
      </x:c>
      <x:c r="J17" s="24" t="n">
        <x:v>80</x:v>
      </x:c>
      <x:c r="K17" s="24" t="str">
        <x:v>Perennial</x:v>
      </x:c>
      <x:c r="L17" s="24" t="str">
        <x:v>Trailing forb/groundcover</x:v>
      </x:c>
      <x:c r="M17" s="24" t="str">
        <x:v>Stoloniferous/rhizomatous</x:v>
      </x:c>
      <x:c r="N17" s="24" t="str">
        <x:v>May</x:v>
      </x:c>
      <x:c r="O17" s="24" t="str">
        <x:v>Sep</x:v>
      </x:c>
      <x:c r="P17" s="24" t="str">
        <x:v>White to pale lavender</x:v>
      </x:c>
      <x:c r="Q17" s="24" t="str">
        <x:v>Part shade to shade</x:v>
      </x:c>
      <x:c r="R17" s="24" t="str">
        <x:v>Mesic</x:v>
      </x:c>
      <x:c r="S17" s="24" t="str">
        <x:v>Humus-rich well-drained forest soil</x:v>
      </x:c>
      <x:c r="T17" s="24" t="str">
        <x:v>Acidic to neutral</x:v>
      </x:c>
      <x:c r="U17" s="24" t="n">
        <x:v>3</x:v>
      </x:c>
      <x:c r="V17" s="24" t="n">
        <x:v>3</x:v>
      </x:c>
      <x:c r="W17" s="24" t="n">
        <x:v>3</x:v>
      </x:c>
      <x:c r="X17" s="24" t="n">
        <x:v>3</x:v>
      </x:c>
      <x:c r="Y17" s="24" t="str">
        <x:v>No confirmed species-level specialist retained yet</x:v>
      </x:c>
      <x:c r="Z17" s="24" t="n">
        <x:v>2</x:v>
      </x:c>
      <x:c r="AA17" s="24" t="n">
        <x:v>3</x:v>
      </x:c>
      <x:c r="AB17" s="24"/>
      <x:c r="AC17" s="24" t="str">
        <x:v>Unknown</x:v>
      </x:c>
      <x:c r="AD17" s="24" t="str">
        <x:v>Verify protocol</x:v>
      </x:c>
      <x:c r="AE17" s="24" t="str">
        <x:v>Vegetative establishment often easiest</x:v>
      </x:c>
      <x:c r="AF17" s="24" t="str">
        <x:v>Seeds/kg pending</x:v>
      </x:c>
      <x:c r="AG17" s="24" t="n">
        <x:v>4</x:v>
      </x:c>
      <x:c r="AH17" s="24" t="n">
        <x:v>3</x:v>
      </x:c>
      <x:c r="AI17" s="24" t="str">
        <x:v>D</x:v>
      </x:c>
      <x:c r="AJ17" s="24" t="str">
        <x:v>Preliminary</x:v>
      </x:c>
      <x:c r="AK17" s="24" t="str">
        <x:v>E-Flora BC; regional floras</x:v>
      </x:c>
      <x:c r="AL17" s="24" t="str">
        <x:v>Fragrant groundcover; seed data likely limited</x:v>
      </x:c>
    </x:row>
    <x:row r="18">
      <x:c r="A18" s="24" t="str">
        <x:v>CDF-0017</x:v>
      </x:c>
      <x:c r="B18" s="24" t="str">
        <x:v>Arctostaphylos uva-ursi</x:v>
      </x:c>
      <x:c r="C18" s="24" t="str">
        <x:v>Kinnikinnick</x:v>
      </x:c>
      <x:c r="D18" s="24" t="str">
        <x:v>Ericaceae</x:v>
      </x:c>
      <x:c r="E18" s="24" t="str">
        <x:v>Native in BC</x:v>
      </x:c>
      <x:c r="F18" s="24" t="str">
        <x:v>High</x:v>
      </x:c>
      <x:c r="G18" s="24" t="str">
        <x:v>Medium</x:v>
      </x:c>
      <x:c r="H18" s="24" t="n">
        <x:v>5</x:v>
      </x:c>
      <x:c r="I18" s="24" t="n">
        <x:v>20</x:v>
      </x:c>
      <x:c r="J18" s="24" t="n">
        <x:v>150</x:v>
      </x:c>
      <x:c r="K18" s="24" t="str">
        <x:v>Evergreen subshrub</x:v>
      </x:c>
      <x:c r="L18" s="24" t="str">
        <x:v>Trailing shrub/groundcover</x:v>
      </x:c>
      <x:c r="M18" s="24" t="str">
        <x:v>Woody trailing; deep roots</x:v>
      </x:c>
      <x:c r="N18" s="24" t="str">
        <x:v>Mar</x:v>
      </x:c>
      <x:c r="O18" s="24" t="str">
        <x:v>May</x:v>
      </x:c>
      <x:c r="P18" s="24" t="str">
        <x:v>White to pink</x:v>
      </x:c>
      <x:c r="Q18" s="24" t="str">
        <x:v>Full sun to part sun</x:v>
      </x:c>
      <x:c r="R18" s="24" t="str">
        <x:v>Dry</x:v>
      </x:c>
      <x:c r="S18" s="24" t="str">
        <x:v>Sandy/rocky acidic well-drained</x:v>
      </x:c>
      <x:c r="T18" s="24" t="str">
        <x:v>Acidic</x:v>
      </x:c>
      <x:c r="U18" s="24" t="n">
        <x:v>3</x:v>
      </x:c>
      <x:c r="V18" s="24" t="n">
        <x:v>2</x:v>
      </x:c>
      <x:c r="W18" s="24" t="n">
        <x:v>4</x:v>
      </x:c>
      <x:c r="X18" s="24" t="n">
        <x:v>2</x:v>
      </x:c>
      <x:c r="Y18" s="24" t="str">
        <x:v>Primarily bumble bee/long-tongued bee floral access; specialists pending</x:v>
      </x:c>
      <x:c r="Z18" s="24" t="n">
        <x:v>3</x:v>
      </x:c>
      <x:c r="AA18" s="24" t="n">
        <x:v>2</x:v>
      </x:c>
      <x:c r="AB18" s="24"/>
      <x:c r="AC18" s="24" t="str">
        <x:v>Physical + physiological dormancy likely</x:v>
      </x:c>
      <x:c r="AD18" s="24" t="str">
        <x:v>Scarification + stratification often required</x:v>
      </x:c>
      <x:c r="AE18" s="24" t="str">
        <x:v>Fall or treated seed; cuttings common</x:v>
      </x:c>
      <x:c r="AF18" s="24" t="str">
        <x:v>Slow from seed</x:v>
      </x:c>
      <x:c r="AG18" s="24" t="n">
        <x:v>5</x:v>
      </x:c>
      <x:c r="AH18" s="24" t="n">
        <x:v>5</x:v>
      </x:c>
      <x:c r="AI18" s="24" t="str">
        <x:v>B</x:v>
      </x:c>
      <x:c r="AJ18" s="24" t="str">
        <x:v>Reviewed draft</x:v>
      </x:c>
      <x:c r="AK18" s="24" t="str">
        <x:v>E-Flora BC; Native Plant Network; regional restoration sources</x:v>
      </x:c>
      <x:c r="AL18" s="24" t="str">
        <x:v>Excellent evergreen erosion-control groundcover</x:v>
      </x:c>
    </x:row>
    <x:row r="19">
      <x:c r="A19" s="24" t="str">
        <x:v>CDF-0018</x:v>
      </x:c>
      <x:c r="B19" s="24" t="str">
        <x:v>Mahonia nervosa</x:v>
      </x:c>
      <x:c r="C19" s="24" t="str">
        <x:v>Dull Oregon-grape</x:v>
      </x:c>
      <x:c r="D19" s="24" t="str">
        <x:v>Berberidaceae</x:v>
      </x:c>
      <x:c r="E19" s="24" t="str">
        <x:v>Native in coastal BC</x:v>
      </x:c>
      <x:c r="F19" s="24" t="str">
        <x:v>Medium</x:v>
      </x:c>
      <x:c r="G19" s="24" t="str">
        <x:v>High</x:v>
      </x:c>
      <x:c r="H19" s="24" t="n">
        <x:v>20</x:v>
      </x:c>
      <x:c r="I19" s="24" t="n">
        <x:v>60</x:v>
      </x:c>
      <x:c r="J19" s="24" t="n">
        <x:v>80</x:v>
      </x:c>
      <x:c r="K19" s="24" t="str">
        <x:v>Evergreen subshrub</x:v>
      </x:c>
      <x:c r="L19" s="24" t="str">
        <x:v>Low shrub</x:v>
      </x:c>
      <x:c r="M19" s="24" t="str">
        <x:v>Rhizomatous woody</x:v>
      </x:c>
      <x:c r="N19" s="24" t="str">
        <x:v>Mar</x:v>
      </x:c>
      <x:c r="O19" s="24" t="str">
        <x:v>May</x:v>
      </x:c>
      <x:c r="P19" s="24" t="str">
        <x:v>Yellow</x:v>
      </x:c>
      <x:c r="Q19" s="24" t="str">
        <x:v>Part shade to shade</x:v>
      </x:c>
      <x:c r="R19" s="24" t="str">
        <x:v>Dry to mesic</x:v>
      </x:c>
      <x:c r="S19" s="24" t="str">
        <x:v>Forest duff; acidic soils</x:v>
      </x:c>
      <x:c r="T19" s="24" t="str">
        <x:v>Acidic to neutral</x:v>
      </x:c>
      <x:c r="U19" s="24" t="n">
        <x:v>4</x:v>
      </x:c>
      <x:c r="V19" s="24" t="n">
        <x:v>5</x:v>
      </x:c>
      <x:c r="W19" s="24" t="n">
        <x:v>4</x:v>
      </x:c>
      <x:c r="X19" s="24" t="n">
        <x:v>4</x:v>
      </x:c>
      <x:c r="Y19" s="24" t="str">
        <x:v>Early-season bee resource; species-level specialists pending</x:v>
      </x:c>
      <x:c r="Z19" s="24" t="n">
        <x:v>3</x:v>
      </x:c>
      <x:c r="AA19" s="24" t="n">
        <x:v>4</x:v>
      </x:c>
      <x:c r="AB19" s="24"/>
      <x:c r="AC19" s="24" t="str">
        <x:v>Morphophysiological dormancy possible</x:v>
      </x:c>
      <x:c r="AD19" s="24" t="str">
        <x:v>Warm/cold stratification often needed</x:v>
      </x:c>
      <x:c r="AE19" s="24" t="str">
        <x:v>Fresh seed/fall; nursery plants common</x:v>
      </x:c>
      <x:c r="AF19" s="24" t="str">
        <x:v>Seeds/kg pending</x:v>
      </x:c>
      <x:c r="AG19" s="24" t="n">
        <x:v>4</x:v>
      </x:c>
      <x:c r="AH19" s="24" t="n">
        <x:v>4</x:v>
      </x:c>
      <x:c r="AI19" s="24" t="str">
        <x:v>C</x:v>
      </x:c>
      <x:c r="AJ19" s="24" t="str">
        <x:v>Preliminary</x:v>
      </x:c>
      <x:c r="AK19" s="24" t="str">
        <x:v>E-Flora BC; regional floras</x:v>
      </x:c>
      <x:c r="AL19" s="24" t="str">
        <x:v>Include only low form/appropriate sites due to height variability</x:v>
      </x:c>
    </x:row>
    <x:row r="20">
      <x:c r="A20" s="24" t="str">
        <x:v>CDF-0019</x:v>
      </x:c>
      <x:c r="B20" s="24" t="str">
        <x:v>Maianthemum dilatatum</x:v>
      </x:c>
      <x:c r="C20" s="24" t="str">
        <x:v>False Lily-of-the-Valley</x:v>
      </x:c>
      <x:c r="D20" s="24" t="str">
        <x:v>Asparagaceae</x:v>
      </x:c>
      <x:c r="E20" s="24" t="str">
        <x:v>Native in coastal BC</x:v>
      </x:c>
      <x:c r="F20" s="24" t="str">
        <x:v>Low</x:v>
      </x:c>
      <x:c r="G20" s="24" t="str">
        <x:v>High</x:v>
      </x:c>
      <x:c r="H20" s="24" t="n">
        <x:v>5</x:v>
      </x:c>
      <x:c r="I20" s="24" t="n">
        <x:v>20</x:v>
      </x:c>
      <x:c r="J20" s="24" t="n">
        <x:v>60</x:v>
      </x:c>
      <x:c r="K20" s="24" t="str">
        <x:v>Perennial</x:v>
      </x:c>
      <x:c r="L20" s="24" t="str">
        <x:v>Rhizomatous forb/groundcover</x:v>
      </x:c>
      <x:c r="M20" s="24" t="str">
        <x:v>Rhizomatous</x:v>
      </x:c>
      <x:c r="N20" s="24" t="str">
        <x:v>Apr</x:v>
      </x:c>
      <x:c r="O20" s="24" t="str">
        <x:v>Jun</x:v>
      </x:c>
      <x:c r="P20" s="24" t="str">
        <x:v>White</x:v>
      </x:c>
      <x:c r="Q20" s="24" t="str">
        <x:v>Shade to part shade</x:v>
      </x:c>
      <x:c r="R20" s="24" t="str">
        <x:v>Moist</x:v>
      </x:c>
      <x:c r="S20" s="24" t="str">
        <x:v>Rich forest soils</x:v>
      </x:c>
      <x:c r="T20" s="24" t="str">
        <x:v>Acidic to neutral</x:v>
      </x:c>
      <x:c r="U20" s="24" t="n">
        <x:v>2</x:v>
      </x:c>
      <x:c r="V20" s="24" t="n">
        <x:v>2</x:v>
      </x:c>
      <x:c r="W20" s="24" t="n">
        <x:v>2</x:v>
      </x:c>
      <x:c r="X20" s="24" t="n">
        <x:v>2</x:v>
      </x:c>
      <x:c r="Y20" s="24" t="str">
        <x:v>No confirmed species-level specialist retained yet</x:v>
      </x:c>
      <x:c r="Z20" s="24" t="n">
        <x:v>2</x:v>
      </x:c>
      <x:c r="AA20" s="24" t="n">
        <x:v>3</x:v>
      </x:c>
      <x:c r="AB20" s="24"/>
      <x:c r="AC20" s="24" t="str">
        <x:v>Unknown/complex dormancy possible</x:v>
      </x:c>
      <x:c r="AD20" s="24" t="str">
        <x:v>Verify protocol</x:v>
      </x:c>
      <x:c r="AE20" s="24" t="str">
        <x:v>Rhizome/planting stock often easiest</x:v>
      </x:c>
      <x:c r="AF20" s="24" t="str">
        <x:v>Seeds/kg pending</x:v>
      </x:c>
      <x:c r="AG20" s="24" t="n">
        <x:v>3</x:v>
      </x:c>
      <x:c r="AH20" s="24" t="n">
        <x:v>3</x:v>
      </x:c>
      <x:c r="AI20" s="24" t="str">
        <x:v>D</x:v>
      </x:c>
      <x:c r="AJ20" s="24" t="str">
        <x:v>Preliminary</x:v>
      </x:c>
      <x:c r="AK20" s="24" t="str">
        <x:v>E-Flora BC; regional floras</x:v>
      </x:c>
      <x:c r="AL20" s="24" t="str">
        <x:v>Useful moist shade groundcover; lower pollinator priority</x:v>
      </x:c>
    </x:row>
    <x:row r="21">
      <x:c r="A21" s="24" t="str">
        <x:v>CDF-0020</x:v>
      </x:c>
      <x:c r="B21" s="24" t="str">
        <x:v>Carex obnupta</x:v>
      </x:c>
      <x:c r="C21" s="24" t="str">
        <x:v>Slough Sedge</x:v>
      </x:c>
      <x:c r="D21" s="24" t="str">
        <x:v>Cyperaceae</x:v>
      </x:c>
      <x:c r="E21" s="24" t="str">
        <x:v>Native in coastal BC</x:v>
      </x:c>
      <x:c r="F21" s="24" t="str">
        <x:v>Medium</x:v>
      </x:c>
      <x:c r="G21" s="24" t="str">
        <x:v>High</x:v>
      </x:c>
      <x:c r="H21" s="24" t="n">
        <x:v>40</x:v>
      </x:c>
      <x:c r="I21" s="24" t="n">
        <x:v>80</x:v>
      </x:c>
      <x:c r="J21" s="24" t="n">
        <x:v>80</x:v>
      </x:c>
      <x:c r="K21" s="24" t="str">
        <x:v>Perennial graminoid</x:v>
      </x:c>
      <x:c r="L21" s="24" t="str">
        <x:v>Sedge</x:v>
      </x:c>
      <x:c r="M21" s="24" t="str">
        <x:v>Rhizomatous/fibrous</x:v>
      </x:c>
      <x:c r="N21" s="24" t="str">
        <x:v>Apr</x:v>
      </x:c>
      <x:c r="O21" s="24" t="str">
        <x:v>Jun</x:v>
      </x:c>
      <x:c r="P21" s="24" t="str">
        <x:v>Green/brown</x:v>
      </x:c>
      <x:c r="Q21" s="24" t="str">
        <x:v>Sun to shade</x:v>
      </x:c>
      <x:c r="R21" s="24" t="str">
        <x:v>Moist to wet</x:v>
      </x:c>
      <x:c r="S21" s="24" t="str">
        <x:v>Wetland/mineral/organic soils</x:v>
      </x:c>
      <x:c r="T21" s="24" t="str">
        <x:v>Acidic to neutral</x:v>
      </x:c>
      <x:c r="U21" s="24" t="n">
        <x:v>0</x:v>
      </x:c>
      <x:c r="V21" s="24" t="n">
        <x:v>1</x:v>
      </x:c>
      <x:c r="W21" s="24" t="n">
        <x:v>0</x:v>
      </x:c>
      <x:c r="X21" s="24" t="n">
        <x:v>1</x:v>
      </x:c>
      <x:c r="Y21" s="24" t="str">
        <x:v>Wind-pollinated; not a floral bee resource</x:v>
      </x:c>
      <x:c r="Z21" s="24" t="n">
        <x:v>2</x:v>
      </x:c>
      <x:c r="AA21" s="24" t="n">
        <x:v>2</x:v>
      </x:c>
      <x:c r="AB21" s="24"/>
      <x:c r="AC21" s="24" t="str">
        <x:v>Physiological dormancy possible</x:v>
      </x:c>
      <x:c r="AD21" s="24" t="str">
        <x:v>Cold stratification often used</x:v>
      </x:c>
      <x:c r="AE21" s="24" t="str">
        <x:v>Fall or stratified spring sowing</x:v>
      </x:c>
      <x:c r="AF21" s="24" t="str">
        <x:v>Seed data pending</x:v>
      </x:c>
      <x:c r="AG21" s="24" t="n">
        <x:v>3</x:v>
      </x:c>
      <x:c r="AH21" s="24" t="n">
        <x:v>5</x:v>
      </x:c>
      <x:c r="AI21" s="24" t="str">
        <x:v>C</x:v>
      </x:c>
      <x:c r="AJ21" s="24" t="str">
        <x:v>Preliminary</x:v>
      </x:c>
      <x:c r="AK21" s="24" t="str">
        <x:v>E-Flora BC; regional restoration sources</x:v>
      </x:c>
      <x:c r="AL21" s="24" t="str">
        <x:v>Exceeds 60 cm on wet/fertile sites; retained as structural wetland exception candidate</x:v>
      </x:c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  <x:c r="W22" s="24"/>
      <x:c r="X22" s="24"/>
      <x:c r="Y22" s="24"/>
      <x:c r="Z22" s="24"/>
      <x:c r="AA22" s="24"/>
      <x:c r="AB22" s="24"/>
      <x:c r="AC22" s="24"/>
      <x:c r="AD22" s="24"/>
      <x:c r="AE22" s="24"/>
      <x:c r="AF22" s="24"/>
      <x:c r="AG22" s="24"/>
      <x:c r="AH22" s="24"/>
      <x:c r="AI22" s="24"/>
      <x:c r="AJ22" s="24"/>
      <x:c r="AK22" s="24"/>
      <x:c r="AL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  <x:c r="W23" s="24"/>
      <x:c r="X23" s="24"/>
      <x:c r="Y23" s="24"/>
      <x:c r="Z23" s="24"/>
      <x:c r="AA23" s="24"/>
      <x:c r="AB23" s="24"/>
      <x:c r="AC23" s="24"/>
      <x:c r="AD23" s="24"/>
      <x:c r="AE23" s="24"/>
      <x:c r="AF23" s="24"/>
      <x:c r="AG23" s="24"/>
      <x:c r="AH23" s="24"/>
      <x:c r="AI23" s="24"/>
      <x:c r="AJ23" s="24"/>
      <x:c r="AK23" s="24"/>
      <x:c r="AL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  <x:c r="W24" s="24"/>
      <x:c r="X24" s="24"/>
      <x:c r="Y24" s="24"/>
      <x:c r="Z24" s="24"/>
      <x:c r="AA24" s="24"/>
      <x:c r="AB24" s="24"/>
      <x:c r="AC24" s="24"/>
      <x:c r="AD24" s="24"/>
      <x:c r="AE24" s="24"/>
      <x:c r="AF24" s="24"/>
      <x:c r="AG24" s="24"/>
      <x:c r="AH24" s="24"/>
      <x:c r="AI24" s="24"/>
      <x:c r="AJ24" s="24"/>
      <x:c r="AK24" s="24"/>
      <x:c r="AL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  <x:c r="W25" s="24"/>
      <x:c r="X25" s="24"/>
      <x:c r="Y25" s="24"/>
      <x:c r="Z25" s="24"/>
      <x:c r="AA25" s="24"/>
      <x:c r="AB25" s="24"/>
      <x:c r="AC25" s="24"/>
      <x:c r="AD25" s="24"/>
      <x:c r="AE25" s="24"/>
      <x:c r="AF25" s="24"/>
      <x:c r="AG25" s="24"/>
      <x:c r="AH25" s="24"/>
      <x:c r="AI25" s="24"/>
      <x:c r="AJ25" s="24"/>
      <x:c r="AK25" s="24"/>
      <x:c r="AL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  <x:c r="W26" s="24"/>
      <x:c r="X26" s="24"/>
      <x:c r="Y26" s="24"/>
      <x:c r="Z26" s="24"/>
      <x:c r="AA26" s="24"/>
      <x:c r="AB26" s="24"/>
      <x:c r="AC26" s="24"/>
      <x:c r="AD26" s="24"/>
      <x:c r="AE26" s="24"/>
      <x:c r="AF26" s="24"/>
      <x:c r="AG26" s="24"/>
      <x:c r="AH26" s="24"/>
      <x:c r="AI26" s="24"/>
      <x:c r="AJ26" s="24"/>
      <x:c r="AK26" s="24"/>
      <x:c r="AL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  <x:c r="W27" s="24"/>
      <x:c r="X27" s="24"/>
      <x:c r="Y27" s="24"/>
      <x:c r="Z27" s="24"/>
      <x:c r="AA27" s="24"/>
      <x:c r="AB27" s="24"/>
      <x:c r="AC27" s="24"/>
      <x:c r="AD27" s="24"/>
      <x:c r="AE27" s="24"/>
      <x:c r="AF27" s="24"/>
      <x:c r="AG27" s="24"/>
      <x:c r="AH27" s="24"/>
      <x:c r="AI27" s="24"/>
      <x:c r="AJ27" s="24"/>
      <x:c r="AK27" s="24"/>
      <x:c r="AL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  <x:c r="W28" s="24"/>
      <x:c r="X28" s="24"/>
      <x:c r="Y28" s="24"/>
      <x:c r="Z28" s="24"/>
      <x:c r="AA28" s="24"/>
      <x:c r="AB28" s="24"/>
      <x:c r="AC28" s="24"/>
      <x:c r="AD28" s="24"/>
      <x:c r="AE28" s="24"/>
      <x:c r="AF28" s="24"/>
      <x:c r="AG28" s="24"/>
      <x:c r="AH28" s="24"/>
      <x:c r="AI28" s="24"/>
      <x:c r="AJ28" s="24"/>
      <x:c r="AK28" s="24"/>
      <x:c r="AL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  <x:c r="W29" s="24"/>
      <x:c r="X29" s="24"/>
      <x:c r="Y29" s="24"/>
      <x:c r="Z29" s="24"/>
      <x:c r="AA29" s="24"/>
      <x:c r="AB29" s="24"/>
      <x:c r="AC29" s="24"/>
      <x:c r="AD29" s="24"/>
      <x:c r="AE29" s="24"/>
      <x:c r="AF29" s="24"/>
      <x:c r="AG29" s="24"/>
      <x:c r="AH29" s="24"/>
      <x:c r="AI29" s="24"/>
      <x:c r="AJ29" s="24"/>
      <x:c r="AK29" s="24"/>
      <x:c r="AL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  <x:c r="W30" s="24"/>
      <x:c r="X30" s="24"/>
      <x:c r="Y30" s="24"/>
      <x:c r="Z30" s="24"/>
      <x:c r="AA30" s="24"/>
      <x:c r="AB30" s="24"/>
      <x:c r="AC30" s="24"/>
      <x:c r="AD30" s="24"/>
      <x:c r="AE30" s="24"/>
      <x:c r="AF30" s="24"/>
      <x:c r="AG30" s="24"/>
      <x:c r="AH30" s="24"/>
      <x:c r="AI30" s="24"/>
      <x:c r="AJ30" s="24"/>
      <x:c r="AK30" s="24"/>
      <x:c r="AL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  <x:c r="W31" s="24"/>
      <x:c r="X31" s="24"/>
      <x:c r="Y31" s="24"/>
      <x:c r="Z31" s="24"/>
      <x:c r="AA31" s="24"/>
      <x:c r="AB31" s="24"/>
      <x:c r="AC31" s="24"/>
      <x:c r="AD31" s="24"/>
      <x:c r="AE31" s="24"/>
      <x:c r="AF31" s="24"/>
      <x:c r="AG31" s="24"/>
      <x:c r="AH31" s="24"/>
      <x:c r="AI31" s="24"/>
      <x:c r="AJ31" s="24"/>
      <x:c r="AK31" s="24"/>
      <x:c r="AL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  <x:c r="W32" s="24"/>
      <x:c r="X32" s="24"/>
      <x:c r="Y32" s="24"/>
      <x:c r="Z32" s="24"/>
      <x:c r="AA32" s="24"/>
      <x:c r="AB32" s="24"/>
      <x:c r="AC32" s="24"/>
      <x:c r="AD32" s="24"/>
      <x:c r="AE32" s="24"/>
      <x:c r="AF32" s="24"/>
      <x:c r="AG32" s="24"/>
      <x:c r="AH32" s="24"/>
      <x:c r="AI32" s="24"/>
      <x:c r="AJ32" s="24"/>
      <x:c r="AK32" s="24"/>
      <x:c r="AL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  <x:c r="W33" s="24"/>
      <x:c r="X33" s="24"/>
      <x:c r="Y33" s="24"/>
      <x:c r="Z33" s="24"/>
      <x:c r="AA33" s="24"/>
      <x:c r="AB33" s="24"/>
      <x:c r="AC33" s="24"/>
      <x:c r="AD33" s="24"/>
      <x:c r="AE33" s="24"/>
      <x:c r="AF33" s="24"/>
      <x:c r="AG33" s="24"/>
      <x:c r="AH33" s="24"/>
      <x:c r="AI33" s="24"/>
      <x:c r="AJ33" s="24"/>
      <x:c r="AK33" s="24"/>
      <x:c r="AL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  <x:c r="W34" s="24"/>
      <x:c r="X34" s="24"/>
      <x:c r="Y34" s="24"/>
      <x:c r="Z34" s="24"/>
      <x:c r="AA34" s="24"/>
      <x:c r="AB34" s="24"/>
      <x:c r="AC34" s="24"/>
      <x:c r="AD34" s="24"/>
      <x:c r="AE34" s="24"/>
      <x:c r="AF34" s="24"/>
      <x:c r="AG34" s="24"/>
      <x:c r="AH34" s="24"/>
      <x:c r="AI34" s="24"/>
      <x:c r="AJ34" s="24"/>
      <x:c r="AK34" s="24"/>
      <x:c r="AL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  <x:c r="AA35" s="24"/>
      <x:c r="AB35" s="24"/>
      <x:c r="AC35" s="24"/>
      <x:c r="AD35" s="24"/>
      <x:c r="AE35" s="24"/>
      <x:c r="AF35" s="24"/>
      <x:c r="AG35" s="24"/>
      <x:c r="AH35" s="24"/>
      <x:c r="AI35" s="24"/>
      <x:c r="AJ35" s="24"/>
      <x:c r="AK35" s="24"/>
      <x:c r="AL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  <x:c r="AA36" s="24"/>
      <x:c r="AB36" s="24"/>
      <x:c r="AC36" s="24"/>
      <x:c r="AD36" s="24"/>
      <x:c r="AE36" s="24"/>
      <x:c r="AF36" s="24"/>
      <x:c r="AG36" s="24"/>
      <x:c r="AH36" s="24"/>
      <x:c r="AI36" s="24"/>
      <x:c r="AJ36" s="24"/>
      <x:c r="AK36" s="24"/>
      <x:c r="AL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  <x:c r="AA37" s="24"/>
      <x:c r="AB37" s="24"/>
      <x:c r="AC37" s="24"/>
      <x:c r="AD37" s="24"/>
      <x:c r="AE37" s="24"/>
      <x:c r="AF37" s="24"/>
      <x:c r="AG37" s="24"/>
      <x:c r="AH37" s="24"/>
      <x:c r="AI37" s="24"/>
      <x:c r="AJ37" s="24"/>
      <x:c r="AK37" s="24"/>
      <x:c r="AL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  <x:c r="AA38" s="24"/>
      <x:c r="AB38" s="24"/>
      <x:c r="AC38" s="24"/>
      <x:c r="AD38" s="24"/>
      <x:c r="AE38" s="24"/>
      <x:c r="AF38" s="24"/>
      <x:c r="AG38" s="24"/>
      <x:c r="AH38" s="24"/>
      <x:c r="AI38" s="24"/>
      <x:c r="AJ38" s="24"/>
      <x:c r="AK38" s="24"/>
      <x:c r="AL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  <x:c r="AA39" s="24"/>
      <x:c r="AB39" s="24"/>
      <x:c r="AC39" s="24"/>
      <x:c r="AD39" s="24"/>
      <x:c r="AE39" s="24"/>
      <x:c r="AF39" s="24"/>
      <x:c r="AG39" s="24"/>
      <x:c r="AH39" s="24"/>
      <x:c r="AI39" s="24"/>
      <x:c r="AJ39" s="24"/>
      <x:c r="AK39" s="24"/>
      <x:c r="AL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  <x:c r="AA40" s="24"/>
      <x:c r="AB40" s="24"/>
      <x:c r="AC40" s="24"/>
      <x:c r="AD40" s="24"/>
      <x:c r="AE40" s="24"/>
      <x:c r="AF40" s="24"/>
      <x:c r="AG40" s="24"/>
      <x:c r="AH40" s="24"/>
      <x:c r="AI40" s="24"/>
      <x:c r="AJ40" s="24"/>
      <x:c r="AK40" s="24"/>
      <x:c r="AL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  <x:c r="AA41" s="24"/>
      <x:c r="AB41" s="24"/>
      <x:c r="AC41" s="24"/>
      <x:c r="AD41" s="24"/>
      <x:c r="AE41" s="24"/>
      <x:c r="AF41" s="24"/>
      <x:c r="AG41" s="24"/>
      <x:c r="AH41" s="24"/>
      <x:c r="AI41" s="24"/>
      <x:c r="AJ41" s="24"/>
      <x:c r="AK41" s="24"/>
      <x:c r="AL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  <x:c r="AA42" s="24"/>
      <x:c r="AB42" s="24"/>
      <x:c r="AC42" s="24"/>
      <x:c r="AD42" s="24"/>
      <x:c r="AE42" s="24"/>
      <x:c r="AF42" s="24"/>
      <x:c r="AG42" s="24"/>
      <x:c r="AH42" s="24"/>
      <x:c r="AI42" s="24"/>
      <x:c r="AJ42" s="24"/>
      <x:c r="AK42" s="24"/>
      <x:c r="AL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  <x:c r="AA43" s="24"/>
      <x:c r="AB43" s="24"/>
      <x:c r="AC43" s="24"/>
      <x:c r="AD43" s="24"/>
      <x:c r="AE43" s="24"/>
      <x:c r="AF43" s="24"/>
      <x:c r="AG43" s="24"/>
      <x:c r="AH43" s="24"/>
      <x:c r="AI43" s="24"/>
      <x:c r="AJ43" s="24"/>
      <x:c r="AK43" s="24"/>
      <x:c r="AL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  <x:c r="AA44" s="24"/>
      <x:c r="AB44" s="24"/>
      <x:c r="AC44" s="24"/>
      <x:c r="AD44" s="24"/>
      <x:c r="AE44" s="24"/>
      <x:c r="AF44" s="24"/>
      <x:c r="AG44" s="24"/>
      <x:c r="AH44" s="24"/>
      <x:c r="AI44" s="24"/>
      <x:c r="AJ44" s="24"/>
      <x:c r="AK44" s="24"/>
      <x:c r="AL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  <x:c r="AA45" s="24"/>
      <x:c r="AB45" s="24"/>
      <x:c r="AC45" s="24"/>
      <x:c r="AD45" s="24"/>
      <x:c r="AE45" s="24"/>
      <x:c r="AF45" s="24"/>
      <x:c r="AG45" s="24"/>
      <x:c r="AH45" s="24"/>
      <x:c r="AI45" s="24"/>
      <x:c r="AJ45" s="24"/>
      <x:c r="AK45" s="24"/>
      <x:c r="AL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  <x:c r="AA46" s="24"/>
      <x:c r="AB46" s="24"/>
      <x:c r="AC46" s="24"/>
      <x:c r="AD46" s="24"/>
      <x:c r="AE46" s="24"/>
      <x:c r="AF46" s="24"/>
      <x:c r="AG46" s="24"/>
      <x:c r="AH46" s="24"/>
      <x:c r="AI46" s="24"/>
      <x:c r="AJ46" s="24"/>
      <x:c r="AK46" s="24"/>
      <x:c r="AL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  <x:c r="AA47" s="24"/>
      <x:c r="AB47" s="24"/>
      <x:c r="AC47" s="24"/>
      <x:c r="AD47" s="24"/>
      <x:c r="AE47" s="24"/>
      <x:c r="AF47" s="24"/>
      <x:c r="AG47" s="24"/>
      <x:c r="AH47" s="24"/>
      <x:c r="AI47" s="24"/>
      <x:c r="AJ47" s="24"/>
      <x:c r="AK47" s="24"/>
      <x:c r="AL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  <x:c r="AA48" s="24"/>
      <x:c r="AB48" s="24"/>
      <x:c r="AC48" s="24"/>
      <x:c r="AD48" s="24"/>
      <x:c r="AE48" s="24"/>
      <x:c r="AF48" s="24"/>
      <x:c r="AG48" s="24"/>
      <x:c r="AH48" s="24"/>
      <x:c r="AI48" s="24"/>
      <x:c r="AJ48" s="24"/>
      <x:c r="AK48" s="24"/>
      <x:c r="AL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  <x:c r="AA49" s="24"/>
      <x:c r="AB49" s="24"/>
      <x:c r="AC49" s="24"/>
      <x:c r="AD49" s="24"/>
      <x:c r="AE49" s="24"/>
      <x:c r="AF49" s="24"/>
      <x:c r="AG49" s="24"/>
      <x:c r="AH49" s="24"/>
      <x:c r="AI49" s="24"/>
      <x:c r="AJ49" s="24"/>
      <x:c r="AK49" s="24"/>
      <x:c r="AL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  <x:c r="AA50" s="24"/>
      <x:c r="AB50" s="24"/>
      <x:c r="AC50" s="24"/>
      <x:c r="AD50" s="24"/>
      <x:c r="AE50" s="24"/>
      <x:c r="AF50" s="24"/>
      <x:c r="AG50" s="24"/>
      <x:c r="AH50" s="24"/>
      <x:c r="AI50" s="24"/>
      <x:c r="AJ50" s="24"/>
      <x:c r="AK50" s="24"/>
      <x:c r="AL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  <x:c r="AA51" s="24"/>
      <x:c r="AB51" s="24"/>
      <x:c r="AC51" s="24"/>
      <x:c r="AD51" s="24"/>
      <x:c r="AE51" s="24"/>
      <x:c r="AF51" s="24"/>
      <x:c r="AG51" s="24"/>
      <x:c r="AH51" s="24"/>
      <x:c r="AI51" s="24"/>
      <x:c r="AJ51" s="24"/>
      <x:c r="AK51" s="24"/>
      <x:c r="AL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  <x:c r="AA52" s="24"/>
      <x:c r="AB52" s="24"/>
      <x:c r="AC52" s="24"/>
      <x:c r="AD52" s="24"/>
      <x:c r="AE52" s="24"/>
      <x:c r="AF52" s="24"/>
      <x:c r="AG52" s="24"/>
      <x:c r="AH52" s="24"/>
      <x:c r="AI52" s="24"/>
      <x:c r="AJ52" s="24"/>
      <x:c r="AK52" s="24"/>
      <x:c r="AL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  <x:c r="AA53" s="24"/>
      <x:c r="AB53" s="24"/>
      <x:c r="AC53" s="24"/>
      <x:c r="AD53" s="24"/>
      <x:c r="AE53" s="24"/>
      <x:c r="AF53" s="24"/>
      <x:c r="AG53" s="24"/>
      <x:c r="AH53" s="24"/>
      <x:c r="AI53" s="24"/>
      <x:c r="AJ53" s="24"/>
      <x:c r="AK53" s="24"/>
      <x:c r="AL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  <x:c r="AA54" s="24"/>
      <x:c r="AB54" s="24"/>
      <x:c r="AC54" s="24"/>
      <x:c r="AD54" s="24"/>
      <x:c r="AE54" s="24"/>
      <x:c r="AF54" s="24"/>
      <x:c r="AG54" s="24"/>
      <x:c r="AH54" s="24"/>
      <x:c r="AI54" s="24"/>
      <x:c r="AJ54" s="24"/>
      <x:c r="AK54" s="24"/>
      <x:c r="AL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  <x:c r="AA55" s="24"/>
      <x:c r="AB55" s="24"/>
      <x:c r="AC55" s="24"/>
      <x:c r="AD55" s="24"/>
      <x:c r="AE55" s="24"/>
      <x:c r="AF55" s="24"/>
      <x:c r="AG55" s="24"/>
      <x:c r="AH55" s="24"/>
      <x:c r="AI55" s="24"/>
      <x:c r="AJ55" s="24"/>
      <x:c r="AK55" s="24"/>
      <x:c r="AL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  <x:c r="AA56" s="24"/>
      <x:c r="AB56" s="24"/>
      <x:c r="AC56" s="24"/>
      <x:c r="AD56" s="24"/>
      <x:c r="AE56" s="24"/>
      <x:c r="AF56" s="24"/>
      <x:c r="AG56" s="24"/>
      <x:c r="AH56" s="24"/>
      <x:c r="AI56" s="24"/>
      <x:c r="AJ56" s="24"/>
      <x:c r="AK56" s="24"/>
      <x:c r="AL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  <x:c r="AA57" s="24"/>
      <x:c r="AB57" s="24"/>
      <x:c r="AC57" s="24"/>
      <x:c r="AD57" s="24"/>
      <x:c r="AE57" s="24"/>
      <x:c r="AF57" s="24"/>
      <x:c r="AG57" s="24"/>
      <x:c r="AH57" s="24"/>
      <x:c r="AI57" s="24"/>
      <x:c r="AJ57" s="24"/>
      <x:c r="AK57" s="24"/>
      <x:c r="AL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24"/>
      <x:c r="AH58" s="24"/>
      <x:c r="AI58" s="24"/>
      <x:c r="AJ58" s="24"/>
      <x:c r="AK58" s="24"/>
      <x:c r="AL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24"/>
      <x:c r="AH59" s="24"/>
      <x:c r="AI59" s="24"/>
      <x:c r="AJ59" s="24"/>
      <x:c r="AK59" s="24"/>
      <x:c r="AL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  <x:c r="AA60" s="24"/>
      <x:c r="AB60" s="24"/>
      <x:c r="AC60" s="24"/>
      <x:c r="AD60" s="24"/>
      <x:c r="AE60" s="24"/>
      <x:c r="AF60" s="24"/>
      <x:c r="AG60" s="24"/>
      <x:c r="AH60" s="24"/>
      <x:c r="AI60" s="24"/>
      <x:c r="AJ60" s="24"/>
      <x:c r="AK60" s="24"/>
      <x:c r="AL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  <x:c r="AA61" s="24"/>
      <x:c r="AB61" s="24"/>
      <x:c r="AC61" s="24"/>
      <x:c r="AD61" s="24"/>
      <x:c r="AE61" s="24"/>
      <x:c r="AF61" s="24"/>
      <x:c r="AG61" s="24"/>
      <x:c r="AH61" s="24"/>
      <x:c r="AI61" s="24"/>
      <x:c r="AJ61" s="24"/>
      <x:c r="AK61" s="24"/>
      <x:c r="AL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  <x:c r="AA62" s="24"/>
      <x:c r="AB62" s="24"/>
      <x:c r="AC62" s="24"/>
      <x:c r="AD62" s="24"/>
      <x:c r="AE62" s="24"/>
      <x:c r="AF62" s="24"/>
      <x:c r="AG62" s="24"/>
      <x:c r="AH62" s="24"/>
      <x:c r="AI62" s="24"/>
      <x:c r="AJ62" s="24"/>
      <x:c r="AK62" s="24"/>
      <x:c r="AL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  <x:c r="AA63" s="24"/>
      <x:c r="AB63" s="24"/>
      <x:c r="AC63" s="24"/>
      <x:c r="AD63" s="24"/>
      <x:c r="AE63" s="24"/>
      <x:c r="AF63" s="24"/>
      <x:c r="AG63" s="24"/>
      <x:c r="AH63" s="24"/>
      <x:c r="AI63" s="24"/>
      <x:c r="AJ63" s="24"/>
      <x:c r="AK63" s="24"/>
      <x:c r="AL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  <x:c r="AA64" s="24"/>
      <x:c r="AB64" s="24"/>
      <x:c r="AC64" s="24"/>
      <x:c r="AD64" s="24"/>
      <x:c r="AE64" s="24"/>
      <x:c r="AF64" s="24"/>
      <x:c r="AG64" s="24"/>
      <x:c r="AH64" s="24"/>
      <x:c r="AI64" s="24"/>
      <x:c r="AJ64" s="24"/>
      <x:c r="AK64" s="24"/>
      <x:c r="AL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  <x:c r="AA65" s="24"/>
      <x:c r="AB65" s="24"/>
      <x:c r="AC65" s="24"/>
      <x:c r="AD65" s="24"/>
      <x:c r="AE65" s="24"/>
      <x:c r="AF65" s="24"/>
      <x:c r="AG65" s="24"/>
      <x:c r="AH65" s="24"/>
      <x:c r="AI65" s="24"/>
      <x:c r="AJ65" s="24"/>
      <x:c r="AK65" s="24"/>
      <x:c r="AL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  <x:c r="AA66" s="24"/>
      <x:c r="AB66" s="24"/>
      <x:c r="AC66" s="24"/>
      <x:c r="AD66" s="24"/>
      <x:c r="AE66" s="24"/>
      <x:c r="AF66" s="24"/>
      <x:c r="AG66" s="24"/>
      <x:c r="AH66" s="24"/>
      <x:c r="AI66" s="24"/>
      <x:c r="AJ66" s="24"/>
      <x:c r="AK66" s="24"/>
      <x:c r="AL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  <x:c r="AA67" s="24"/>
      <x:c r="AB67" s="24"/>
      <x:c r="AC67" s="24"/>
      <x:c r="AD67" s="24"/>
      <x:c r="AE67" s="24"/>
      <x:c r="AF67" s="24"/>
      <x:c r="AG67" s="24"/>
      <x:c r="AH67" s="24"/>
      <x:c r="AI67" s="24"/>
      <x:c r="AJ67" s="24"/>
      <x:c r="AK67" s="24"/>
      <x:c r="AL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  <x:c r="AA68" s="24"/>
      <x:c r="AB68" s="24"/>
      <x:c r="AC68" s="24"/>
      <x:c r="AD68" s="24"/>
      <x:c r="AE68" s="24"/>
      <x:c r="AF68" s="24"/>
      <x:c r="AG68" s="24"/>
      <x:c r="AH68" s="24"/>
      <x:c r="AI68" s="24"/>
      <x:c r="AJ68" s="24"/>
      <x:c r="AK68" s="24"/>
      <x:c r="AL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  <x:c r="AA69" s="24"/>
      <x:c r="AB69" s="24"/>
      <x:c r="AC69" s="24"/>
      <x:c r="AD69" s="24"/>
      <x:c r="AE69" s="24"/>
      <x:c r="AF69" s="24"/>
      <x:c r="AG69" s="24"/>
      <x:c r="AH69" s="24"/>
      <x:c r="AI69" s="24"/>
      <x:c r="AJ69" s="24"/>
      <x:c r="AK69" s="24"/>
      <x:c r="AL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  <x:c r="AA70" s="24"/>
      <x:c r="AB70" s="24"/>
      <x:c r="AC70" s="24"/>
      <x:c r="AD70" s="24"/>
      <x:c r="AE70" s="24"/>
      <x:c r="AF70" s="24"/>
      <x:c r="AG70" s="24"/>
      <x:c r="AH70" s="24"/>
      <x:c r="AI70" s="24"/>
      <x:c r="AJ70" s="24"/>
      <x:c r="AK70" s="24"/>
      <x:c r="AL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24"/>
      <x:c r="AH71" s="24"/>
      <x:c r="AI71" s="24"/>
      <x:c r="AJ71" s="24"/>
      <x:c r="AK71" s="24"/>
      <x:c r="AL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24"/>
      <x:c r="AH72" s="24"/>
      <x:c r="AI72" s="24"/>
      <x:c r="AJ72" s="24"/>
      <x:c r="AK72" s="24"/>
      <x:c r="AL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  <x:c r="AA73" s="24"/>
      <x:c r="AB73" s="24"/>
      <x:c r="AC73" s="24"/>
      <x:c r="AD73" s="24"/>
      <x:c r="AE73" s="24"/>
      <x:c r="AF73" s="24"/>
      <x:c r="AG73" s="24"/>
      <x:c r="AH73" s="24"/>
      <x:c r="AI73" s="24"/>
      <x:c r="AJ73" s="24"/>
      <x:c r="AK73" s="24"/>
      <x:c r="AL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  <x:c r="AA74" s="24"/>
      <x:c r="AB74" s="24"/>
      <x:c r="AC74" s="24"/>
      <x:c r="AD74" s="24"/>
      <x:c r="AE74" s="24"/>
      <x:c r="AF74" s="24"/>
      <x:c r="AG74" s="24"/>
      <x:c r="AH74" s="24"/>
      <x:c r="AI74" s="24"/>
      <x:c r="AJ74" s="24"/>
      <x:c r="AK74" s="24"/>
      <x:c r="AL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  <x:c r="AA75" s="24"/>
      <x:c r="AB75" s="24"/>
      <x:c r="AC75" s="24"/>
      <x:c r="AD75" s="24"/>
      <x:c r="AE75" s="24"/>
      <x:c r="AF75" s="24"/>
      <x:c r="AG75" s="24"/>
      <x:c r="AH75" s="24"/>
      <x:c r="AI75" s="24"/>
      <x:c r="AJ75" s="24"/>
      <x:c r="AK75" s="24"/>
      <x:c r="AL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  <x:c r="AA76" s="24"/>
      <x:c r="AB76" s="24"/>
      <x:c r="AC76" s="24"/>
      <x:c r="AD76" s="24"/>
      <x:c r="AE76" s="24"/>
      <x:c r="AF76" s="24"/>
      <x:c r="AG76" s="24"/>
      <x:c r="AH76" s="24"/>
      <x:c r="AI76" s="24"/>
      <x:c r="AJ76" s="24"/>
      <x:c r="AK76" s="24"/>
      <x:c r="AL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  <x:c r="AA77" s="24"/>
      <x:c r="AB77" s="24"/>
      <x:c r="AC77" s="24"/>
      <x:c r="AD77" s="24"/>
      <x:c r="AE77" s="24"/>
      <x:c r="AF77" s="24"/>
      <x:c r="AG77" s="24"/>
      <x:c r="AH77" s="24"/>
      <x:c r="AI77" s="24"/>
      <x:c r="AJ77" s="24"/>
      <x:c r="AK77" s="24"/>
      <x:c r="AL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  <x:c r="AA78" s="24"/>
      <x:c r="AB78" s="24"/>
      <x:c r="AC78" s="24"/>
      <x:c r="AD78" s="24"/>
      <x:c r="AE78" s="24"/>
      <x:c r="AF78" s="24"/>
      <x:c r="AG78" s="24"/>
      <x:c r="AH78" s="24"/>
      <x:c r="AI78" s="24"/>
      <x:c r="AJ78" s="24"/>
      <x:c r="AK78" s="24"/>
      <x:c r="AL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  <x:c r="AA79" s="24"/>
      <x:c r="AB79" s="24"/>
      <x:c r="AC79" s="24"/>
      <x:c r="AD79" s="24"/>
      <x:c r="AE79" s="24"/>
      <x:c r="AF79" s="24"/>
      <x:c r="AG79" s="24"/>
      <x:c r="AH79" s="24"/>
      <x:c r="AI79" s="24"/>
      <x:c r="AJ79" s="24"/>
      <x:c r="AK79" s="24"/>
      <x:c r="AL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  <x:c r="AA80" s="24"/>
      <x:c r="AB80" s="24"/>
      <x:c r="AC80" s="24"/>
      <x:c r="AD80" s="24"/>
      <x:c r="AE80" s="24"/>
      <x:c r="AF80" s="24"/>
      <x:c r="AG80" s="24"/>
      <x:c r="AH80" s="24"/>
      <x:c r="AI80" s="24"/>
      <x:c r="AJ80" s="24"/>
      <x:c r="AK80" s="24"/>
      <x:c r="AL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  <x:c r="AA81" s="24"/>
      <x:c r="AB81" s="24"/>
      <x:c r="AC81" s="24"/>
      <x:c r="AD81" s="24"/>
      <x:c r="AE81" s="24"/>
      <x:c r="AF81" s="24"/>
      <x:c r="AG81" s="24"/>
      <x:c r="AH81" s="24"/>
      <x:c r="AI81" s="24"/>
      <x:c r="AJ81" s="24"/>
      <x:c r="AK81" s="24"/>
      <x:c r="AL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  <x:c r="AA82" s="24"/>
      <x:c r="AB82" s="24"/>
      <x:c r="AC82" s="24"/>
      <x:c r="AD82" s="24"/>
      <x:c r="AE82" s="24"/>
      <x:c r="AF82" s="24"/>
      <x:c r="AG82" s="24"/>
      <x:c r="AH82" s="24"/>
      <x:c r="AI82" s="24"/>
      <x:c r="AJ82" s="24"/>
      <x:c r="AK82" s="24"/>
      <x:c r="AL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  <x:c r="AA83" s="24"/>
      <x:c r="AB83" s="24"/>
      <x:c r="AC83" s="24"/>
      <x:c r="AD83" s="24"/>
      <x:c r="AE83" s="24"/>
      <x:c r="AF83" s="24"/>
      <x:c r="AG83" s="24"/>
      <x:c r="AH83" s="24"/>
      <x:c r="AI83" s="24"/>
      <x:c r="AJ83" s="24"/>
      <x:c r="AK83" s="24"/>
      <x:c r="AL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24"/>
      <x:c r="AH84" s="24"/>
      <x:c r="AI84" s="24"/>
      <x:c r="AJ84" s="24"/>
      <x:c r="AK84" s="24"/>
      <x:c r="AL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24"/>
      <x:c r="AH85" s="24"/>
      <x:c r="AI85" s="24"/>
      <x:c r="AJ85" s="24"/>
      <x:c r="AK85" s="24"/>
      <x:c r="AL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  <x:c r="AA86" s="24"/>
      <x:c r="AB86" s="24"/>
      <x:c r="AC86" s="24"/>
      <x:c r="AD86" s="24"/>
      <x:c r="AE86" s="24"/>
      <x:c r="AF86" s="24"/>
      <x:c r="AG86" s="24"/>
      <x:c r="AH86" s="24"/>
      <x:c r="AI86" s="24"/>
      <x:c r="AJ86" s="24"/>
      <x:c r="AK86" s="24"/>
      <x:c r="AL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  <x:c r="AA87" s="24"/>
      <x:c r="AB87" s="24"/>
      <x:c r="AC87" s="24"/>
      <x:c r="AD87" s="24"/>
      <x:c r="AE87" s="24"/>
      <x:c r="AF87" s="24"/>
      <x:c r="AG87" s="24"/>
      <x:c r="AH87" s="24"/>
      <x:c r="AI87" s="24"/>
      <x:c r="AJ87" s="24"/>
      <x:c r="AK87" s="24"/>
      <x:c r="AL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  <x:c r="AA88" s="24"/>
      <x:c r="AB88" s="24"/>
      <x:c r="AC88" s="24"/>
      <x:c r="AD88" s="24"/>
      <x:c r="AE88" s="24"/>
      <x:c r="AF88" s="24"/>
      <x:c r="AG88" s="24"/>
      <x:c r="AH88" s="24"/>
      <x:c r="AI88" s="24"/>
      <x:c r="AJ88" s="24"/>
      <x:c r="AK88" s="24"/>
      <x:c r="AL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  <x:c r="AA89" s="24"/>
      <x:c r="AB89" s="24"/>
      <x:c r="AC89" s="24"/>
      <x:c r="AD89" s="24"/>
      <x:c r="AE89" s="24"/>
      <x:c r="AF89" s="24"/>
      <x:c r="AG89" s="24"/>
      <x:c r="AH89" s="24"/>
      <x:c r="AI89" s="24"/>
      <x:c r="AJ89" s="24"/>
      <x:c r="AK89" s="24"/>
      <x:c r="AL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  <x:c r="AA90" s="24"/>
      <x:c r="AB90" s="24"/>
      <x:c r="AC90" s="24"/>
      <x:c r="AD90" s="24"/>
      <x:c r="AE90" s="24"/>
      <x:c r="AF90" s="24"/>
      <x:c r="AG90" s="24"/>
      <x:c r="AH90" s="24"/>
      <x:c r="AI90" s="24"/>
      <x:c r="AJ90" s="24"/>
      <x:c r="AK90" s="24"/>
      <x:c r="AL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  <x:c r="AA91" s="24"/>
      <x:c r="AB91" s="24"/>
      <x:c r="AC91" s="24"/>
      <x:c r="AD91" s="24"/>
      <x:c r="AE91" s="24"/>
      <x:c r="AF91" s="24"/>
      <x:c r="AG91" s="24"/>
      <x:c r="AH91" s="24"/>
      <x:c r="AI91" s="24"/>
      <x:c r="AJ91" s="24"/>
      <x:c r="AK91" s="24"/>
      <x:c r="AL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  <x:c r="AA92" s="24"/>
      <x:c r="AB92" s="24"/>
      <x:c r="AC92" s="24"/>
      <x:c r="AD92" s="24"/>
      <x:c r="AE92" s="24"/>
      <x:c r="AF92" s="24"/>
      <x:c r="AG92" s="24"/>
      <x:c r="AH92" s="24"/>
      <x:c r="AI92" s="24"/>
      <x:c r="AJ92" s="24"/>
      <x:c r="AK92" s="24"/>
      <x:c r="AL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  <x:c r="AA93" s="24"/>
      <x:c r="AB93" s="24"/>
      <x:c r="AC93" s="24"/>
      <x:c r="AD93" s="24"/>
      <x:c r="AE93" s="24"/>
      <x:c r="AF93" s="24"/>
      <x:c r="AG93" s="24"/>
      <x:c r="AH93" s="24"/>
      <x:c r="AI93" s="24"/>
      <x:c r="AJ93" s="24"/>
      <x:c r="AK93" s="24"/>
      <x:c r="AL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  <x:c r="AA94" s="24"/>
      <x:c r="AB94" s="24"/>
      <x:c r="AC94" s="24"/>
      <x:c r="AD94" s="24"/>
      <x:c r="AE94" s="24"/>
      <x:c r="AF94" s="24"/>
      <x:c r="AG94" s="24"/>
      <x:c r="AH94" s="24"/>
      <x:c r="AI94" s="24"/>
      <x:c r="AJ94" s="24"/>
      <x:c r="AK94" s="24"/>
      <x:c r="AL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  <x:c r="AA95" s="24"/>
      <x:c r="AB95" s="24"/>
      <x:c r="AC95" s="24"/>
      <x:c r="AD95" s="24"/>
      <x:c r="AE95" s="24"/>
      <x:c r="AF95" s="24"/>
      <x:c r="AG95" s="24"/>
      <x:c r="AH95" s="24"/>
      <x:c r="AI95" s="24"/>
      <x:c r="AJ95" s="24"/>
      <x:c r="AK95" s="24"/>
      <x:c r="AL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  <x:c r="AA96" s="24"/>
      <x:c r="AB96" s="24"/>
      <x:c r="AC96" s="24"/>
      <x:c r="AD96" s="24"/>
      <x:c r="AE96" s="24"/>
      <x:c r="AF96" s="24"/>
      <x:c r="AG96" s="24"/>
      <x:c r="AH96" s="24"/>
      <x:c r="AI96" s="24"/>
      <x:c r="AJ96" s="24"/>
      <x:c r="AK96" s="24"/>
      <x:c r="AL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24"/>
      <x:c r="AH97" s="24"/>
      <x:c r="AI97" s="24"/>
      <x:c r="AJ97" s="24"/>
      <x:c r="AK97" s="24"/>
      <x:c r="AL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24"/>
      <x:c r="AH98" s="24"/>
      <x:c r="AI98" s="24"/>
      <x:c r="AJ98" s="24"/>
      <x:c r="AK98" s="24"/>
      <x:c r="AL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  <x:c r="AA99" s="24"/>
      <x:c r="AB99" s="24"/>
      <x:c r="AC99" s="24"/>
      <x:c r="AD99" s="24"/>
      <x:c r="AE99" s="24"/>
      <x:c r="AF99" s="24"/>
      <x:c r="AG99" s="24"/>
      <x:c r="AH99" s="24"/>
      <x:c r="AI99" s="24"/>
      <x:c r="AJ99" s="24"/>
      <x:c r="AK99" s="24"/>
      <x:c r="AL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  <x:c r="AA100" s="24"/>
      <x:c r="AB100" s="24"/>
      <x:c r="AC100" s="24"/>
      <x:c r="AD100" s="24"/>
      <x:c r="AE100" s="24"/>
      <x:c r="AF100" s="24"/>
      <x:c r="AG100" s="24"/>
      <x:c r="AH100" s="24"/>
      <x:c r="AI100" s="24"/>
      <x:c r="AJ100" s="24"/>
      <x:c r="AK100" s="24"/>
      <x:c r="AL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  <x:c r="AA101" s="24"/>
      <x:c r="AB101" s="24"/>
      <x:c r="AC101" s="24"/>
      <x:c r="AD101" s="24"/>
      <x:c r="AE101" s="24"/>
      <x:c r="AF101" s="24"/>
      <x:c r="AG101" s="24"/>
      <x:c r="AH101" s="24"/>
      <x:c r="AI101" s="24"/>
      <x:c r="AJ101" s="24"/>
      <x:c r="AK101" s="24"/>
      <x:c r="AL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  <x:c r="AA102" s="24"/>
      <x:c r="AB102" s="24"/>
      <x:c r="AC102" s="24"/>
      <x:c r="AD102" s="24"/>
      <x:c r="AE102" s="24"/>
      <x:c r="AF102" s="24"/>
      <x:c r="AG102" s="24"/>
      <x:c r="AH102" s="24"/>
      <x:c r="AI102" s="24"/>
      <x:c r="AJ102" s="24"/>
      <x:c r="AK102" s="24"/>
      <x:c r="AL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  <x:c r="AA103" s="24"/>
      <x:c r="AB103" s="24"/>
      <x:c r="AC103" s="24"/>
      <x:c r="AD103" s="24"/>
      <x:c r="AE103" s="24"/>
      <x:c r="AF103" s="24"/>
      <x:c r="AG103" s="24"/>
      <x:c r="AH103" s="24"/>
      <x:c r="AI103" s="24"/>
      <x:c r="AJ103" s="24"/>
      <x:c r="AK103" s="24"/>
      <x:c r="AL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  <x:c r="AA104" s="24"/>
      <x:c r="AB104" s="24"/>
      <x:c r="AC104" s="24"/>
      <x:c r="AD104" s="24"/>
      <x:c r="AE104" s="24"/>
      <x:c r="AF104" s="24"/>
      <x:c r="AG104" s="24"/>
      <x:c r="AH104" s="24"/>
      <x:c r="AI104" s="24"/>
      <x:c r="AJ104" s="24"/>
      <x:c r="AK104" s="24"/>
      <x:c r="AL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  <x:c r="AA105" s="24"/>
      <x:c r="AB105" s="24"/>
      <x:c r="AC105" s="24"/>
      <x:c r="AD105" s="24"/>
      <x:c r="AE105" s="24"/>
      <x:c r="AF105" s="24"/>
      <x:c r="AG105" s="24"/>
      <x:c r="AH105" s="24"/>
      <x:c r="AI105" s="24"/>
      <x:c r="AJ105" s="24"/>
      <x:c r="AK105" s="24"/>
      <x:c r="AL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  <x:c r="AA106" s="24"/>
      <x:c r="AB106" s="24"/>
      <x:c r="AC106" s="24"/>
      <x:c r="AD106" s="24"/>
      <x:c r="AE106" s="24"/>
      <x:c r="AF106" s="24"/>
      <x:c r="AG106" s="24"/>
      <x:c r="AH106" s="24"/>
      <x:c r="AI106" s="24"/>
      <x:c r="AJ106" s="24"/>
      <x:c r="AK106" s="24"/>
      <x:c r="AL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  <x:c r="AA107" s="24"/>
      <x:c r="AB107" s="24"/>
      <x:c r="AC107" s="24"/>
      <x:c r="AD107" s="24"/>
      <x:c r="AE107" s="24"/>
      <x:c r="AF107" s="24"/>
      <x:c r="AG107" s="24"/>
      <x:c r="AH107" s="24"/>
      <x:c r="AI107" s="24"/>
      <x:c r="AJ107" s="24"/>
      <x:c r="AK107" s="24"/>
      <x:c r="AL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  <x:c r="AA108" s="24"/>
      <x:c r="AB108" s="24"/>
      <x:c r="AC108" s="24"/>
      <x:c r="AD108" s="24"/>
      <x:c r="AE108" s="24"/>
      <x:c r="AF108" s="24"/>
      <x:c r="AG108" s="24"/>
      <x:c r="AH108" s="24"/>
      <x:c r="AI108" s="24"/>
      <x:c r="AJ108" s="24"/>
      <x:c r="AK108" s="24"/>
      <x:c r="AL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  <x:c r="AA109" s="24"/>
      <x:c r="AB109" s="24"/>
      <x:c r="AC109" s="24"/>
      <x:c r="AD109" s="24"/>
      <x:c r="AE109" s="24"/>
      <x:c r="AF109" s="24"/>
      <x:c r="AG109" s="24"/>
      <x:c r="AH109" s="24"/>
      <x:c r="AI109" s="24"/>
      <x:c r="AJ109" s="24"/>
      <x:c r="AK109" s="24"/>
      <x:c r="AL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24"/>
      <x:c r="AH110" s="24"/>
      <x:c r="AI110" s="24"/>
      <x:c r="AJ110" s="24"/>
      <x:c r="AK110" s="24"/>
      <x:c r="AL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24"/>
      <x:c r="AH111" s="24"/>
      <x:c r="AI111" s="24"/>
      <x:c r="AJ111" s="24"/>
      <x:c r="AK111" s="24"/>
      <x:c r="AL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  <x:c r="AA112" s="24"/>
      <x:c r="AB112" s="24"/>
      <x:c r="AC112" s="24"/>
      <x:c r="AD112" s="24"/>
      <x:c r="AE112" s="24"/>
      <x:c r="AF112" s="24"/>
      <x:c r="AG112" s="24"/>
      <x:c r="AH112" s="24"/>
      <x:c r="AI112" s="24"/>
      <x:c r="AJ112" s="24"/>
      <x:c r="AK112" s="24"/>
      <x:c r="AL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  <x:c r="AA113" s="24"/>
      <x:c r="AB113" s="24"/>
      <x:c r="AC113" s="24"/>
      <x:c r="AD113" s="24"/>
      <x:c r="AE113" s="24"/>
      <x:c r="AF113" s="24"/>
      <x:c r="AG113" s="24"/>
      <x:c r="AH113" s="24"/>
      <x:c r="AI113" s="24"/>
      <x:c r="AJ113" s="24"/>
      <x:c r="AK113" s="24"/>
      <x:c r="AL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  <x:c r="AA114" s="24"/>
      <x:c r="AB114" s="24"/>
      <x:c r="AC114" s="24"/>
      <x:c r="AD114" s="24"/>
      <x:c r="AE114" s="24"/>
      <x:c r="AF114" s="24"/>
      <x:c r="AG114" s="24"/>
      <x:c r="AH114" s="24"/>
      <x:c r="AI114" s="24"/>
      <x:c r="AJ114" s="24"/>
      <x:c r="AK114" s="24"/>
      <x:c r="AL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  <x:c r="AA115" s="24"/>
      <x:c r="AB115" s="24"/>
      <x:c r="AC115" s="24"/>
      <x:c r="AD115" s="24"/>
      <x:c r="AE115" s="24"/>
      <x:c r="AF115" s="24"/>
      <x:c r="AG115" s="24"/>
      <x:c r="AH115" s="24"/>
      <x:c r="AI115" s="24"/>
      <x:c r="AJ115" s="24"/>
      <x:c r="AK115" s="24"/>
      <x:c r="AL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  <x:c r="AA116" s="24"/>
      <x:c r="AB116" s="24"/>
      <x:c r="AC116" s="24"/>
      <x:c r="AD116" s="24"/>
      <x:c r="AE116" s="24"/>
      <x:c r="AF116" s="24"/>
      <x:c r="AG116" s="24"/>
      <x:c r="AH116" s="24"/>
      <x:c r="AI116" s="24"/>
      <x:c r="AJ116" s="24"/>
      <x:c r="AK116" s="24"/>
      <x:c r="AL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  <x:c r="AA117" s="24"/>
      <x:c r="AB117" s="24"/>
      <x:c r="AC117" s="24"/>
      <x:c r="AD117" s="24"/>
      <x:c r="AE117" s="24"/>
      <x:c r="AF117" s="24"/>
      <x:c r="AG117" s="24"/>
      <x:c r="AH117" s="24"/>
      <x:c r="AI117" s="24"/>
      <x:c r="AJ117" s="24"/>
      <x:c r="AK117" s="24"/>
      <x:c r="AL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  <x:c r="AA118" s="24"/>
      <x:c r="AB118" s="24"/>
      <x:c r="AC118" s="24"/>
      <x:c r="AD118" s="24"/>
      <x:c r="AE118" s="24"/>
      <x:c r="AF118" s="24"/>
      <x:c r="AG118" s="24"/>
      <x:c r="AH118" s="24"/>
      <x:c r="AI118" s="24"/>
      <x:c r="AJ118" s="24"/>
      <x:c r="AK118" s="24"/>
      <x:c r="AL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  <x:c r="AA119" s="24"/>
      <x:c r="AB119" s="24"/>
      <x:c r="AC119" s="24"/>
      <x:c r="AD119" s="24"/>
      <x:c r="AE119" s="24"/>
      <x:c r="AF119" s="24"/>
      <x:c r="AG119" s="24"/>
      <x:c r="AH119" s="24"/>
      <x:c r="AI119" s="24"/>
      <x:c r="AJ119" s="24"/>
      <x:c r="AK119" s="24"/>
      <x:c r="AL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  <x:c r="AA120" s="24"/>
      <x:c r="AB120" s="24"/>
      <x:c r="AC120" s="24"/>
      <x:c r="AD120" s="24"/>
      <x:c r="AE120" s="24"/>
      <x:c r="AF120" s="24"/>
      <x:c r="AG120" s="24"/>
      <x:c r="AH120" s="24"/>
      <x:c r="AI120" s="24"/>
      <x:c r="AJ120" s="24"/>
      <x:c r="AK120" s="24"/>
      <x:c r="AL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  <x:c r="AA121" s="24"/>
      <x:c r="AB121" s="24"/>
      <x:c r="AC121" s="24"/>
      <x:c r="AD121" s="24"/>
      <x:c r="AE121" s="24"/>
      <x:c r="AF121" s="24"/>
      <x:c r="AG121" s="24"/>
      <x:c r="AH121" s="24"/>
      <x:c r="AI121" s="24"/>
      <x:c r="AJ121" s="24"/>
      <x:c r="AK121" s="24"/>
      <x:c r="AL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  <x:c r="AA122" s="24"/>
      <x:c r="AB122" s="24"/>
      <x:c r="AC122" s="24"/>
      <x:c r="AD122" s="24"/>
      <x:c r="AE122" s="24"/>
      <x:c r="AF122" s="24"/>
      <x:c r="AG122" s="24"/>
      <x:c r="AH122" s="24"/>
      <x:c r="AI122" s="24"/>
      <x:c r="AJ122" s="24"/>
      <x:c r="AK122" s="24"/>
      <x:c r="AL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24"/>
      <x:c r="AH123" s="24"/>
      <x:c r="AI123" s="24"/>
      <x:c r="AJ123" s="24"/>
      <x:c r="AK123" s="24"/>
      <x:c r="AL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24"/>
      <x:c r="AH124" s="24"/>
      <x:c r="AI124" s="24"/>
      <x:c r="AJ124" s="24"/>
      <x:c r="AK124" s="24"/>
      <x:c r="AL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  <x:c r="AA125" s="24"/>
      <x:c r="AB125" s="24"/>
      <x:c r="AC125" s="24"/>
      <x:c r="AD125" s="24"/>
      <x:c r="AE125" s="24"/>
      <x:c r="AF125" s="24"/>
      <x:c r="AG125" s="24"/>
      <x:c r="AH125" s="24"/>
      <x:c r="AI125" s="24"/>
      <x:c r="AJ125" s="24"/>
      <x:c r="AK125" s="24"/>
      <x:c r="AL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  <x:c r="AA126" s="24"/>
      <x:c r="AB126" s="24"/>
      <x:c r="AC126" s="24"/>
      <x:c r="AD126" s="24"/>
      <x:c r="AE126" s="24"/>
      <x:c r="AF126" s="24"/>
      <x:c r="AG126" s="24"/>
      <x:c r="AH126" s="24"/>
      <x:c r="AI126" s="24"/>
      <x:c r="AJ126" s="24"/>
      <x:c r="AK126" s="24"/>
      <x:c r="AL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  <x:c r="AA127" s="24"/>
      <x:c r="AB127" s="24"/>
      <x:c r="AC127" s="24"/>
      <x:c r="AD127" s="24"/>
      <x:c r="AE127" s="24"/>
      <x:c r="AF127" s="24"/>
      <x:c r="AG127" s="24"/>
      <x:c r="AH127" s="24"/>
      <x:c r="AI127" s="24"/>
      <x:c r="AJ127" s="24"/>
      <x:c r="AK127" s="24"/>
      <x:c r="AL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  <x:c r="AA128" s="24"/>
      <x:c r="AB128" s="24"/>
      <x:c r="AC128" s="24"/>
      <x:c r="AD128" s="24"/>
      <x:c r="AE128" s="24"/>
      <x:c r="AF128" s="24"/>
      <x:c r="AG128" s="24"/>
      <x:c r="AH128" s="24"/>
      <x:c r="AI128" s="24"/>
      <x:c r="AJ128" s="24"/>
      <x:c r="AK128" s="24"/>
      <x:c r="AL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  <x:c r="AA129" s="24"/>
      <x:c r="AB129" s="24"/>
      <x:c r="AC129" s="24"/>
      <x:c r="AD129" s="24"/>
      <x:c r="AE129" s="24"/>
      <x:c r="AF129" s="24"/>
      <x:c r="AG129" s="24"/>
      <x:c r="AH129" s="24"/>
      <x:c r="AI129" s="24"/>
      <x:c r="AJ129" s="24"/>
      <x:c r="AK129" s="24"/>
      <x:c r="AL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  <x:c r="AA130" s="24"/>
      <x:c r="AB130" s="24"/>
      <x:c r="AC130" s="24"/>
      <x:c r="AD130" s="24"/>
      <x:c r="AE130" s="24"/>
      <x:c r="AF130" s="24"/>
      <x:c r="AG130" s="24"/>
      <x:c r="AH130" s="24"/>
      <x:c r="AI130" s="24"/>
      <x:c r="AJ130" s="24"/>
      <x:c r="AK130" s="24"/>
      <x:c r="AL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  <x:c r="AA131" s="24"/>
      <x:c r="AB131" s="24"/>
      <x:c r="AC131" s="24"/>
      <x:c r="AD131" s="24"/>
      <x:c r="AE131" s="24"/>
      <x:c r="AF131" s="24"/>
      <x:c r="AG131" s="24"/>
      <x:c r="AH131" s="24"/>
      <x:c r="AI131" s="24"/>
      <x:c r="AJ131" s="24"/>
      <x:c r="AK131" s="24"/>
      <x:c r="AL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  <x:c r="AA132" s="24"/>
      <x:c r="AB132" s="24"/>
      <x:c r="AC132" s="24"/>
      <x:c r="AD132" s="24"/>
      <x:c r="AE132" s="24"/>
      <x:c r="AF132" s="24"/>
      <x:c r="AG132" s="24"/>
      <x:c r="AH132" s="24"/>
      <x:c r="AI132" s="24"/>
      <x:c r="AJ132" s="24"/>
      <x:c r="AK132" s="24"/>
      <x:c r="AL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  <x:c r="AA133" s="24"/>
      <x:c r="AB133" s="24"/>
      <x:c r="AC133" s="24"/>
      <x:c r="AD133" s="24"/>
      <x:c r="AE133" s="24"/>
      <x:c r="AF133" s="24"/>
      <x:c r="AG133" s="24"/>
      <x:c r="AH133" s="24"/>
      <x:c r="AI133" s="24"/>
      <x:c r="AJ133" s="24"/>
      <x:c r="AK133" s="24"/>
      <x:c r="AL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  <x:c r="AA134" s="24"/>
      <x:c r="AB134" s="24"/>
      <x:c r="AC134" s="24"/>
      <x:c r="AD134" s="24"/>
      <x:c r="AE134" s="24"/>
      <x:c r="AF134" s="24"/>
      <x:c r="AG134" s="24"/>
      <x:c r="AH134" s="24"/>
      <x:c r="AI134" s="24"/>
      <x:c r="AJ134" s="24"/>
      <x:c r="AK134" s="24"/>
      <x:c r="AL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  <x:c r="AA135" s="24"/>
      <x:c r="AB135" s="24"/>
      <x:c r="AC135" s="24"/>
      <x:c r="AD135" s="24"/>
      <x:c r="AE135" s="24"/>
      <x:c r="AF135" s="24"/>
      <x:c r="AG135" s="24"/>
      <x:c r="AH135" s="24"/>
      <x:c r="AI135" s="24"/>
      <x:c r="AJ135" s="24"/>
      <x:c r="AK135" s="24"/>
      <x:c r="AL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  <x:c r="AA136" s="24"/>
      <x:c r="AB136" s="24"/>
      <x:c r="AC136" s="24"/>
      <x:c r="AD136" s="24"/>
      <x:c r="AE136" s="24"/>
      <x:c r="AF136" s="24"/>
      <x:c r="AG136" s="24"/>
      <x:c r="AH136" s="24"/>
      <x:c r="AI136" s="24"/>
      <x:c r="AJ136" s="24"/>
      <x:c r="AK136" s="24"/>
      <x:c r="AL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  <x:c r="AA137" s="24"/>
      <x:c r="AB137" s="24"/>
      <x:c r="AC137" s="24"/>
      <x:c r="AD137" s="24"/>
      <x:c r="AE137" s="24"/>
      <x:c r="AF137" s="24"/>
      <x:c r="AG137" s="24"/>
      <x:c r="AH137" s="24"/>
      <x:c r="AI137" s="24"/>
      <x:c r="AJ137" s="24"/>
      <x:c r="AK137" s="24"/>
      <x:c r="AL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  <x:c r="AA138" s="24"/>
      <x:c r="AB138" s="24"/>
      <x:c r="AC138" s="24"/>
      <x:c r="AD138" s="24"/>
      <x:c r="AE138" s="24"/>
      <x:c r="AF138" s="24"/>
      <x:c r="AG138" s="24"/>
      <x:c r="AH138" s="24"/>
      <x:c r="AI138" s="24"/>
      <x:c r="AJ138" s="24"/>
      <x:c r="AK138" s="24"/>
      <x:c r="AL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  <x:c r="AA139" s="24"/>
      <x:c r="AB139" s="24"/>
      <x:c r="AC139" s="24"/>
      <x:c r="AD139" s="24"/>
      <x:c r="AE139" s="24"/>
      <x:c r="AF139" s="24"/>
      <x:c r="AG139" s="24"/>
      <x:c r="AH139" s="24"/>
      <x:c r="AI139" s="24"/>
      <x:c r="AJ139" s="24"/>
      <x:c r="AK139" s="24"/>
      <x:c r="AL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  <x:c r="AA140" s="24"/>
      <x:c r="AB140" s="24"/>
      <x:c r="AC140" s="24"/>
      <x:c r="AD140" s="24"/>
      <x:c r="AE140" s="24"/>
      <x:c r="AF140" s="24"/>
      <x:c r="AG140" s="24"/>
      <x:c r="AH140" s="24"/>
      <x:c r="AI140" s="24"/>
      <x:c r="AJ140" s="24"/>
      <x:c r="AK140" s="24"/>
      <x:c r="AL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  <x:c r="AA141" s="24"/>
      <x:c r="AB141" s="24"/>
      <x:c r="AC141" s="24"/>
      <x:c r="AD141" s="24"/>
      <x:c r="AE141" s="24"/>
      <x:c r="AF141" s="24"/>
      <x:c r="AG141" s="24"/>
      <x:c r="AH141" s="24"/>
      <x:c r="AI141" s="24"/>
      <x:c r="AJ141" s="24"/>
      <x:c r="AK141" s="24"/>
      <x:c r="AL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  <x:c r="AA142" s="24"/>
      <x:c r="AB142" s="24"/>
      <x:c r="AC142" s="24"/>
      <x:c r="AD142" s="24"/>
      <x:c r="AE142" s="24"/>
      <x:c r="AF142" s="24"/>
      <x:c r="AG142" s="24"/>
      <x:c r="AH142" s="24"/>
      <x:c r="AI142" s="24"/>
      <x:c r="AJ142" s="24"/>
      <x:c r="AK142" s="24"/>
      <x:c r="AL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  <x:c r="AA143" s="24"/>
      <x:c r="AB143" s="24"/>
      <x:c r="AC143" s="24"/>
      <x:c r="AD143" s="24"/>
      <x:c r="AE143" s="24"/>
      <x:c r="AF143" s="24"/>
      <x:c r="AG143" s="24"/>
      <x:c r="AH143" s="24"/>
      <x:c r="AI143" s="24"/>
      <x:c r="AJ143" s="24"/>
      <x:c r="AK143" s="24"/>
      <x:c r="AL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  <x:c r="AA144" s="24"/>
      <x:c r="AB144" s="24"/>
      <x:c r="AC144" s="24"/>
      <x:c r="AD144" s="24"/>
      <x:c r="AE144" s="24"/>
      <x:c r="AF144" s="24"/>
      <x:c r="AG144" s="24"/>
      <x:c r="AH144" s="24"/>
      <x:c r="AI144" s="24"/>
      <x:c r="AJ144" s="24"/>
      <x:c r="AK144" s="24"/>
      <x:c r="AL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  <x:c r="AA145" s="24"/>
      <x:c r="AB145" s="24"/>
      <x:c r="AC145" s="24"/>
      <x:c r="AD145" s="24"/>
      <x:c r="AE145" s="24"/>
      <x:c r="AF145" s="24"/>
      <x:c r="AG145" s="24"/>
      <x:c r="AH145" s="24"/>
      <x:c r="AI145" s="24"/>
      <x:c r="AJ145" s="24"/>
      <x:c r="AK145" s="24"/>
      <x:c r="AL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  <x:c r="AA146" s="24"/>
      <x:c r="AB146" s="24"/>
      <x:c r="AC146" s="24"/>
      <x:c r="AD146" s="24"/>
      <x:c r="AE146" s="24"/>
      <x:c r="AF146" s="24"/>
      <x:c r="AG146" s="24"/>
      <x:c r="AH146" s="24"/>
      <x:c r="AI146" s="24"/>
      <x:c r="AJ146" s="24"/>
      <x:c r="AK146" s="24"/>
      <x:c r="AL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  <x:c r="AA147" s="24"/>
      <x:c r="AB147" s="24"/>
      <x:c r="AC147" s="24"/>
      <x:c r="AD147" s="24"/>
      <x:c r="AE147" s="24"/>
      <x:c r="AF147" s="24"/>
      <x:c r="AG147" s="24"/>
      <x:c r="AH147" s="24"/>
      <x:c r="AI147" s="24"/>
      <x:c r="AJ147" s="24"/>
      <x:c r="AK147" s="24"/>
      <x:c r="AL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  <x:c r="AA148" s="24"/>
      <x:c r="AB148" s="24"/>
      <x:c r="AC148" s="24"/>
      <x:c r="AD148" s="24"/>
      <x:c r="AE148" s="24"/>
      <x:c r="AF148" s="24"/>
      <x:c r="AG148" s="24"/>
      <x:c r="AH148" s="24"/>
      <x:c r="AI148" s="24"/>
      <x:c r="AJ148" s="24"/>
      <x:c r="AK148" s="24"/>
      <x:c r="AL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  <x:c r="AA149" s="24"/>
      <x:c r="AB149" s="24"/>
      <x:c r="AC149" s="24"/>
      <x:c r="AD149" s="24"/>
      <x:c r="AE149" s="24"/>
      <x:c r="AF149" s="24"/>
      <x:c r="AG149" s="24"/>
      <x:c r="AH149" s="24"/>
      <x:c r="AI149" s="24"/>
      <x:c r="AJ149" s="24"/>
      <x:c r="AK149" s="24"/>
      <x:c r="AL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  <x:c r="AA150" s="24"/>
      <x:c r="AB150" s="24"/>
      <x:c r="AC150" s="24"/>
      <x:c r="AD150" s="24"/>
      <x:c r="AE150" s="24"/>
      <x:c r="AF150" s="24"/>
      <x:c r="AG150" s="24"/>
      <x:c r="AH150" s="24"/>
      <x:c r="AI150" s="24"/>
      <x:c r="AJ150" s="24"/>
      <x:c r="AK150" s="24"/>
      <x:c r="AL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  <x:c r="AA151" s="24"/>
      <x:c r="AB151" s="24"/>
      <x:c r="AC151" s="24"/>
      <x:c r="AD151" s="24"/>
      <x:c r="AE151" s="24"/>
      <x:c r="AF151" s="24"/>
      <x:c r="AG151" s="24"/>
      <x:c r="AH151" s="24"/>
      <x:c r="AI151" s="24"/>
      <x:c r="AJ151" s="24"/>
      <x:c r="AK151" s="24"/>
      <x:c r="AL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  <x:c r="AA152" s="24"/>
      <x:c r="AB152" s="24"/>
      <x:c r="AC152" s="24"/>
      <x:c r="AD152" s="24"/>
      <x:c r="AE152" s="24"/>
      <x:c r="AF152" s="24"/>
      <x:c r="AG152" s="24"/>
      <x:c r="AH152" s="24"/>
      <x:c r="AI152" s="24"/>
      <x:c r="AJ152" s="24"/>
      <x:c r="AK152" s="24"/>
      <x:c r="AL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  <x:c r="AA153" s="24"/>
      <x:c r="AB153" s="24"/>
      <x:c r="AC153" s="24"/>
      <x:c r="AD153" s="24"/>
      <x:c r="AE153" s="24"/>
      <x:c r="AF153" s="24"/>
      <x:c r="AG153" s="24"/>
      <x:c r="AH153" s="24"/>
      <x:c r="AI153" s="24"/>
      <x:c r="AJ153" s="24"/>
      <x:c r="AK153" s="24"/>
      <x:c r="AL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  <x:c r="AA154" s="24"/>
      <x:c r="AB154" s="24"/>
      <x:c r="AC154" s="24"/>
      <x:c r="AD154" s="24"/>
      <x:c r="AE154" s="24"/>
      <x:c r="AF154" s="24"/>
      <x:c r="AG154" s="24"/>
      <x:c r="AH154" s="24"/>
      <x:c r="AI154" s="24"/>
      <x:c r="AJ154" s="24"/>
      <x:c r="AK154" s="24"/>
      <x:c r="AL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  <x:c r="AA155" s="24"/>
      <x:c r="AB155" s="24"/>
      <x:c r="AC155" s="24"/>
      <x:c r="AD155" s="24"/>
      <x:c r="AE155" s="24"/>
      <x:c r="AF155" s="24"/>
      <x:c r="AG155" s="24"/>
      <x:c r="AH155" s="24"/>
      <x:c r="AI155" s="24"/>
      <x:c r="AJ155" s="24"/>
      <x:c r="AK155" s="24"/>
      <x:c r="AL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  <x:c r="AA156" s="24"/>
      <x:c r="AB156" s="24"/>
      <x:c r="AC156" s="24"/>
      <x:c r="AD156" s="24"/>
      <x:c r="AE156" s="24"/>
      <x:c r="AF156" s="24"/>
      <x:c r="AG156" s="24"/>
      <x:c r="AH156" s="24"/>
      <x:c r="AI156" s="24"/>
      <x:c r="AJ156" s="24"/>
      <x:c r="AK156" s="24"/>
      <x:c r="AL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  <x:c r="AA157" s="24"/>
      <x:c r="AB157" s="24"/>
      <x:c r="AC157" s="24"/>
      <x:c r="AD157" s="24"/>
      <x:c r="AE157" s="24"/>
      <x:c r="AF157" s="24"/>
      <x:c r="AG157" s="24"/>
      <x:c r="AH157" s="24"/>
      <x:c r="AI157" s="24"/>
      <x:c r="AJ157" s="24"/>
      <x:c r="AK157" s="24"/>
      <x:c r="AL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  <x:c r="AA158" s="24"/>
      <x:c r="AB158" s="24"/>
      <x:c r="AC158" s="24"/>
      <x:c r="AD158" s="24"/>
      <x:c r="AE158" s="24"/>
      <x:c r="AF158" s="24"/>
      <x:c r="AG158" s="24"/>
      <x:c r="AH158" s="24"/>
      <x:c r="AI158" s="24"/>
      <x:c r="AJ158" s="24"/>
      <x:c r="AK158" s="24"/>
      <x:c r="AL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  <x:c r="AA159" s="24"/>
      <x:c r="AB159" s="24"/>
      <x:c r="AC159" s="24"/>
      <x:c r="AD159" s="24"/>
      <x:c r="AE159" s="24"/>
      <x:c r="AF159" s="24"/>
      <x:c r="AG159" s="24"/>
      <x:c r="AH159" s="24"/>
      <x:c r="AI159" s="24"/>
      <x:c r="AJ159" s="24"/>
      <x:c r="AK159" s="24"/>
      <x:c r="AL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  <x:c r="AA160" s="24"/>
      <x:c r="AB160" s="24"/>
      <x:c r="AC160" s="24"/>
      <x:c r="AD160" s="24"/>
      <x:c r="AE160" s="24"/>
      <x:c r="AF160" s="24"/>
      <x:c r="AG160" s="24"/>
      <x:c r="AH160" s="24"/>
      <x:c r="AI160" s="24"/>
      <x:c r="AJ160" s="24"/>
      <x:c r="AK160" s="24"/>
      <x:c r="AL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  <x:c r="AA161" s="24"/>
      <x:c r="AB161" s="24"/>
      <x:c r="AC161" s="24"/>
      <x:c r="AD161" s="24"/>
      <x:c r="AE161" s="24"/>
      <x:c r="AF161" s="24"/>
      <x:c r="AG161" s="24"/>
      <x:c r="AH161" s="24"/>
      <x:c r="AI161" s="24"/>
      <x:c r="AJ161" s="24"/>
      <x:c r="AK161" s="24"/>
      <x:c r="AL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  <x:c r="AA162" s="24"/>
      <x:c r="AB162" s="24"/>
      <x:c r="AC162" s="24"/>
      <x:c r="AD162" s="24"/>
      <x:c r="AE162" s="24"/>
      <x:c r="AF162" s="24"/>
      <x:c r="AG162" s="24"/>
      <x:c r="AH162" s="24"/>
      <x:c r="AI162" s="24"/>
      <x:c r="AJ162" s="24"/>
      <x:c r="AK162" s="24"/>
      <x:c r="AL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  <x:c r="AA163" s="24"/>
      <x:c r="AB163" s="24"/>
      <x:c r="AC163" s="24"/>
      <x:c r="AD163" s="24"/>
      <x:c r="AE163" s="24"/>
      <x:c r="AF163" s="24"/>
      <x:c r="AG163" s="24"/>
      <x:c r="AH163" s="24"/>
      <x:c r="AI163" s="24"/>
      <x:c r="AJ163" s="24"/>
      <x:c r="AK163" s="24"/>
      <x:c r="AL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  <x:c r="AA164" s="24"/>
      <x:c r="AB164" s="24"/>
      <x:c r="AC164" s="24"/>
      <x:c r="AD164" s="24"/>
      <x:c r="AE164" s="24"/>
      <x:c r="AF164" s="24"/>
      <x:c r="AG164" s="24"/>
      <x:c r="AH164" s="24"/>
      <x:c r="AI164" s="24"/>
      <x:c r="AJ164" s="24"/>
      <x:c r="AK164" s="24"/>
      <x:c r="AL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  <x:c r="AA165" s="24"/>
      <x:c r="AB165" s="24"/>
      <x:c r="AC165" s="24"/>
      <x:c r="AD165" s="24"/>
      <x:c r="AE165" s="24"/>
      <x:c r="AF165" s="24"/>
      <x:c r="AG165" s="24"/>
      <x:c r="AH165" s="24"/>
      <x:c r="AI165" s="24"/>
      <x:c r="AJ165" s="24"/>
      <x:c r="AK165" s="24"/>
      <x:c r="AL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  <x:c r="AA166" s="24"/>
      <x:c r="AB166" s="24"/>
      <x:c r="AC166" s="24"/>
      <x:c r="AD166" s="24"/>
      <x:c r="AE166" s="24"/>
      <x:c r="AF166" s="24"/>
      <x:c r="AG166" s="24"/>
      <x:c r="AH166" s="24"/>
      <x:c r="AI166" s="24"/>
      <x:c r="AJ166" s="24"/>
      <x:c r="AK166" s="24"/>
      <x:c r="AL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  <x:c r="AA167" s="24"/>
      <x:c r="AB167" s="24"/>
      <x:c r="AC167" s="24"/>
      <x:c r="AD167" s="24"/>
      <x:c r="AE167" s="24"/>
      <x:c r="AF167" s="24"/>
      <x:c r="AG167" s="24"/>
      <x:c r="AH167" s="24"/>
      <x:c r="AI167" s="24"/>
      <x:c r="AJ167" s="24"/>
      <x:c r="AK167" s="24"/>
      <x:c r="AL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  <x:c r="AA168" s="24"/>
      <x:c r="AB168" s="24"/>
      <x:c r="AC168" s="24"/>
      <x:c r="AD168" s="24"/>
      <x:c r="AE168" s="24"/>
      <x:c r="AF168" s="24"/>
      <x:c r="AG168" s="24"/>
      <x:c r="AH168" s="24"/>
      <x:c r="AI168" s="24"/>
      <x:c r="AJ168" s="24"/>
      <x:c r="AK168" s="24"/>
      <x:c r="AL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  <x:c r="AA169" s="24"/>
      <x:c r="AB169" s="24"/>
      <x:c r="AC169" s="24"/>
      <x:c r="AD169" s="24"/>
      <x:c r="AE169" s="24"/>
      <x:c r="AF169" s="24"/>
      <x:c r="AG169" s="24"/>
      <x:c r="AH169" s="24"/>
      <x:c r="AI169" s="24"/>
      <x:c r="AJ169" s="24"/>
      <x:c r="AK169" s="24"/>
      <x:c r="AL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  <x:c r="AA170" s="24"/>
      <x:c r="AB170" s="24"/>
      <x:c r="AC170" s="24"/>
      <x:c r="AD170" s="24"/>
      <x:c r="AE170" s="24"/>
      <x:c r="AF170" s="24"/>
      <x:c r="AG170" s="24"/>
      <x:c r="AH170" s="24"/>
      <x:c r="AI170" s="24"/>
      <x:c r="AJ170" s="24"/>
      <x:c r="AK170" s="24"/>
      <x:c r="AL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  <x:c r="AA171" s="24"/>
      <x:c r="AB171" s="24"/>
      <x:c r="AC171" s="24"/>
      <x:c r="AD171" s="24"/>
      <x:c r="AE171" s="24"/>
      <x:c r="AF171" s="24"/>
      <x:c r="AG171" s="24"/>
      <x:c r="AH171" s="24"/>
      <x:c r="AI171" s="24"/>
      <x:c r="AJ171" s="24"/>
      <x:c r="AK171" s="24"/>
      <x:c r="AL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  <x:c r="AA172" s="24"/>
      <x:c r="AB172" s="24"/>
      <x:c r="AC172" s="24"/>
      <x:c r="AD172" s="24"/>
      <x:c r="AE172" s="24"/>
      <x:c r="AF172" s="24"/>
      <x:c r="AG172" s="24"/>
      <x:c r="AH172" s="24"/>
      <x:c r="AI172" s="24"/>
      <x:c r="AJ172" s="24"/>
      <x:c r="AK172" s="24"/>
      <x:c r="AL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  <x:c r="AA173" s="24"/>
      <x:c r="AB173" s="24"/>
      <x:c r="AC173" s="24"/>
      <x:c r="AD173" s="24"/>
      <x:c r="AE173" s="24"/>
      <x:c r="AF173" s="24"/>
      <x:c r="AG173" s="24"/>
      <x:c r="AH173" s="24"/>
      <x:c r="AI173" s="24"/>
      <x:c r="AJ173" s="24"/>
      <x:c r="AK173" s="24"/>
      <x:c r="AL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  <x:c r="AA174" s="24"/>
      <x:c r="AB174" s="24"/>
      <x:c r="AC174" s="24"/>
      <x:c r="AD174" s="24"/>
      <x:c r="AE174" s="24"/>
      <x:c r="AF174" s="24"/>
      <x:c r="AG174" s="24"/>
      <x:c r="AH174" s="24"/>
      <x:c r="AI174" s="24"/>
      <x:c r="AJ174" s="24"/>
      <x:c r="AK174" s="24"/>
      <x:c r="AL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  <x:c r="AA175" s="24"/>
      <x:c r="AB175" s="24"/>
      <x:c r="AC175" s="24"/>
      <x:c r="AD175" s="24"/>
      <x:c r="AE175" s="24"/>
      <x:c r="AF175" s="24"/>
      <x:c r="AG175" s="24"/>
      <x:c r="AH175" s="24"/>
      <x:c r="AI175" s="24"/>
      <x:c r="AJ175" s="24"/>
      <x:c r="AK175" s="24"/>
      <x:c r="AL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  <x:c r="AA176" s="24"/>
      <x:c r="AB176" s="24"/>
      <x:c r="AC176" s="24"/>
      <x:c r="AD176" s="24"/>
      <x:c r="AE176" s="24"/>
      <x:c r="AF176" s="24"/>
      <x:c r="AG176" s="24"/>
      <x:c r="AH176" s="24"/>
      <x:c r="AI176" s="24"/>
      <x:c r="AJ176" s="24"/>
      <x:c r="AK176" s="24"/>
      <x:c r="AL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  <x:c r="AA177" s="24"/>
      <x:c r="AB177" s="24"/>
      <x:c r="AC177" s="24"/>
      <x:c r="AD177" s="24"/>
      <x:c r="AE177" s="24"/>
      <x:c r="AF177" s="24"/>
      <x:c r="AG177" s="24"/>
      <x:c r="AH177" s="24"/>
      <x:c r="AI177" s="24"/>
      <x:c r="AJ177" s="24"/>
      <x:c r="AK177" s="24"/>
      <x:c r="AL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  <x:c r="AA178" s="24"/>
      <x:c r="AB178" s="24"/>
      <x:c r="AC178" s="24"/>
      <x:c r="AD178" s="24"/>
      <x:c r="AE178" s="24"/>
      <x:c r="AF178" s="24"/>
      <x:c r="AG178" s="24"/>
      <x:c r="AH178" s="24"/>
      <x:c r="AI178" s="24"/>
      <x:c r="AJ178" s="24"/>
      <x:c r="AK178" s="24"/>
      <x:c r="AL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  <x:c r="AA179" s="24"/>
      <x:c r="AB179" s="24"/>
      <x:c r="AC179" s="24"/>
      <x:c r="AD179" s="24"/>
      <x:c r="AE179" s="24"/>
      <x:c r="AF179" s="24"/>
      <x:c r="AG179" s="24"/>
      <x:c r="AH179" s="24"/>
      <x:c r="AI179" s="24"/>
      <x:c r="AJ179" s="24"/>
      <x:c r="AK179" s="24"/>
      <x:c r="AL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  <x:c r="AA180" s="24"/>
      <x:c r="AB180" s="24"/>
      <x:c r="AC180" s="24"/>
      <x:c r="AD180" s="24"/>
      <x:c r="AE180" s="24"/>
      <x:c r="AF180" s="24"/>
      <x:c r="AG180" s="24"/>
      <x:c r="AH180" s="24"/>
      <x:c r="AI180" s="24"/>
      <x:c r="AJ180" s="24"/>
      <x:c r="AK180" s="24"/>
      <x:c r="AL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  <x:c r="AA181" s="24"/>
      <x:c r="AB181" s="24"/>
      <x:c r="AC181" s="24"/>
      <x:c r="AD181" s="24"/>
      <x:c r="AE181" s="24"/>
      <x:c r="AF181" s="24"/>
      <x:c r="AG181" s="24"/>
      <x:c r="AH181" s="24"/>
      <x:c r="AI181" s="24"/>
      <x:c r="AJ181" s="24"/>
      <x:c r="AK181" s="24"/>
      <x:c r="AL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  <x:c r="AA182" s="24"/>
      <x:c r="AB182" s="24"/>
      <x:c r="AC182" s="24"/>
      <x:c r="AD182" s="24"/>
      <x:c r="AE182" s="24"/>
      <x:c r="AF182" s="24"/>
      <x:c r="AG182" s="24"/>
      <x:c r="AH182" s="24"/>
      <x:c r="AI182" s="24"/>
      <x:c r="AJ182" s="24"/>
      <x:c r="AK182" s="24"/>
      <x:c r="AL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  <x:c r="AA183" s="24"/>
      <x:c r="AB183" s="24"/>
      <x:c r="AC183" s="24"/>
      <x:c r="AD183" s="24"/>
      <x:c r="AE183" s="24"/>
      <x:c r="AF183" s="24"/>
      <x:c r="AG183" s="24"/>
      <x:c r="AH183" s="24"/>
      <x:c r="AI183" s="24"/>
      <x:c r="AJ183" s="24"/>
      <x:c r="AK183" s="24"/>
      <x:c r="AL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  <x:c r="AA184" s="24"/>
      <x:c r="AB184" s="24"/>
      <x:c r="AC184" s="24"/>
      <x:c r="AD184" s="24"/>
      <x:c r="AE184" s="24"/>
      <x:c r="AF184" s="24"/>
      <x:c r="AG184" s="24"/>
      <x:c r="AH184" s="24"/>
      <x:c r="AI184" s="24"/>
      <x:c r="AJ184" s="24"/>
      <x:c r="AK184" s="24"/>
      <x:c r="AL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  <x:c r="AA185" s="24"/>
      <x:c r="AB185" s="24"/>
      <x:c r="AC185" s="24"/>
      <x:c r="AD185" s="24"/>
      <x:c r="AE185" s="24"/>
      <x:c r="AF185" s="24"/>
      <x:c r="AG185" s="24"/>
      <x:c r="AH185" s="24"/>
      <x:c r="AI185" s="24"/>
      <x:c r="AJ185" s="24"/>
      <x:c r="AK185" s="24"/>
      <x:c r="AL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  <x:c r="AA186" s="24"/>
      <x:c r="AB186" s="24"/>
      <x:c r="AC186" s="24"/>
      <x:c r="AD186" s="24"/>
      <x:c r="AE186" s="24"/>
      <x:c r="AF186" s="24"/>
      <x:c r="AG186" s="24"/>
      <x:c r="AH186" s="24"/>
      <x:c r="AI186" s="24"/>
      <x:c r="AJ186" s="24"/>
      <x:c r="AK186" s="24"/>
      <x:c r="AL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  <x:c r="AA187" s="24"/>
      <x:c r="AB187" s="24"/>
      <x:c r="AC187" s="24"/>
      <x:c r="AD187" s="24"/>
      <x:c r="AE187" s="24"/>
      <x:c r="AF187" s="24"/>
      <x:c r="AG187" s="24"/>
      <x:c r="AH187" s="24"/>
      <x:c r="AI187" s="24"/>
      <x:c r="AJ187" s="24"/>
      <x:c r="AK187" s="24"/>
      <x:c r="AL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  <x:c r="AA188" s="24"/>
      <x:c r="AB188" s="24"/>
      <x:c r="AC188" s="24"/>
      <x:c r="AD188" s="24"/>
      <x:c r="AE188" s="24"/>
      <x:c r="AF188" s="24"/>
      <x:c r="AG188" s="24"/>
      <x:c r="AH188" s="24"/>
      <x:c r="AI188" s="24"/>
      <x:c r="AJ188" s="24"/>
      <x:c r="AK188" s="24"/>
      <x:c r="AL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  <x:c r="AA189" s="24"/>
      <x:c r="AB189" s="24"/>
      <x:c r="AC189" s="24"/>
      <x:c r="AD189" s="24"/>
      <x:c r="AE189" s="24"/>
      <x:c r="AF189" s="24"/>
      <x:c r="AG189" s="24"/>
      <x:c r="AH189" s="24"/>
      <x:c r="AI189" s="24"/>
      <x:c r="AJ189" s="24"/>
      <x:c r="AK189" s="24"/>
      <x:c r="AL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  <x:c r="AA190" s="24"/>
      <x:c r="AB190" s="24"/>
      <x:c r="AC190" s="24"/>
      <x:c r="AD190" s="24"/>
      <x:c r="AE190" s="24"/>
      <x:c r="AF190" s="24"/>
      <x:c r="AG190" s="24"/>
      <x:c r="AH190" s="24"/>
      <x:c r="AI190" s="24"/>
      <x:c r="AJ190" s="24"/>
      <x:c r="AK190" s="24"/>
      <x:c r="AL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  <x:c r="AA191" s="24"/>
      <x:c r="AB191" s="24"/>
      <x:c r="AC191" s="24"/>
      <x:c r="AD191" s="24"/>
      <x:c r="AE191" s="24"/>
      <x:c r="AF191" s="24"/>
      <x:c r="AG191" s="24"/>
      <x:c r="AH191" s="24"/>
      <x:c r="AI191" s="24"/>
      <x:c r="AJ191" s="24"/>
      <x:c r="AK191" s="24"/>
      <x:c r="AL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  <x:c r="AA192" s="24"/>
      <x:c r="AB192" s="24"/>
      <x:c r="AC192" s="24"/>
      <x:c r="AD192" s="24"/>
      <x:c r="AE192" s="24"/>
      <x:c r="AF192" s="24"/>
      <x:c r="AG192" s="24"/>
      <x:c r="AH192" s="24"/>
      <x:c r="AI192" s="24"/>
      <x:c r="AJ192" s="24"/>
      <x:c r="AK192" s="24"/>
      <x:c r="AL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  <x:c r="AA193" s="24"/>
      <x:c r="AB193" s="24"/>
      <x:c r="AC193" s="24"/>
      <x:c r="AD193" s="24"/>
      <x:c r="AE193" s="24"/>
      <x:c r="AF193" s="24"/>
      <x:c r="AG193" s="24"/>
      <x:c r="AH193" s="24"/>
      <x:c r="AI193" s="24"/>
      <x:c r="AJ193" s="24"/>
      <x:c r="AK193" s="24"/>
      <x:c r="AL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  <x:c r="AA194" s="24"/>
      <x:c r="AB194" s="24"/>
      <x:c r="AC194" s="24"/>
      <x:c r="AD194" s="24"/>
      <x:c r="AE194" s="24"/>
      <x:c r="AF194" s="24"/>
      <x:c r="AG194" s="24"/>
      <x:c r="AH194" s="24"/>
      <x:c r="AI194" s="24"/>
      <x:c r="AJ194" s="24"/>
      <x:c r="AK194" s="24"/>
      <x:c r="AL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  <x:c r="AA195" s="24"/>
      <x:c r="AB195" s="24"/>
      <x:c r="AC195" s="24"/>
      <x:c r="AD195" s="24"/>
      <x:c r="AE195" s="24"/>
      <x:c r="AF195" s="24"/>
      <x:c r="AG195" s="24"/>
      <x:c r="AH195" s="24"/>
      <x:c r="AI195" s="24"/>
      <x:c r="AJ195" s="24"/>
      <x:c r="AK195" s="24"/>
      <x:c r="AL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  <x:c r="AA196" s="24"/>
      <x:c r="AB196" s="24"/>
      <x:c r="AC196" s="24"/>
      <x:c r="AD196" s="24"/>
      <x:c r="AE196" s="24"/>
      <x:c r="AF196" s="24"/>
      <x:c r="AG196" s="24"/>
      <x:c r="AH196" s="24"/>
      <x:c r="AI196" s="24"/>
      <x:c r="AJ196" s="24"/>
      <x:c r="AK196" s="24"/>
      <x:c r="AL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  <x:c r="AA197" s="24"/>
      <x:c r="AB197" s="24"/>
      <x:c r="AC197" s="24"/>
      <x:c r="AD197" s="24"/>
      <x:c r="AE197" s="24"/>
      <x:c r="AF197" s="24"/>
      <x:c r="AG197" s="24"/>
      <x:c r="AH197" s="24"/>
      <x:c r="AI197" s="24"/>
      <x:c r="AJ197" s="24"/>
      <x:c r="AK197" s="24"/>
      <x:c r="AL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  <x:c r="AA198" s="24"/>
      <x:c r="AB198" s="24"/>
      <x:c r="AC198" s="24"/>
      <x:c r="AD198" s="24"/>
      <x:c r="AE198" s="24"/>
      <x:c r="AF198" s="24"/>
      <x:c r="AG198" s="24"/>
      <x:c r="AH198" s="24"/>
      <x:c r="AI198" s="24"/>
      <x:c r="AJ198" s="24"/>
      <x:c r="AK198" s="24"/>
      <x:c r="AL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  <x:c r="AA199" s="24"/>
      <x:c r="AB199" s="24"/>
      <x:c r="AC199" s="24"/>
      <x:c r="AD199" s="24"/>
      <x:c r="AE199" s="24"/>
      <x:c r="AF199" s="24"/>
      <x:c r="AG199" s="24"/>
      <x:c r="AH199" s="24"/>
      <x:c r="AI199" s="24"/>
      <x:c r="AJ199" s="24"/>
      <x:c r="AK199" s="24"/>
      <x:c r="AL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  <x:c r="AA200" s="24"/>
      <x:c r="AB200" s="24"/>
      <x:c r="AC200" s="24"/>
      <x:c r="AD200" s="24"/>
      <x:c r="AE200" s="24"/>
      <x:c r="AF200" s="24"/>
      <x:c r="AG200" s="24"/>
      <x:c r="AH200" s="24"/>
      <x:c r="AI200" s="24"/>
      <x:c r="AJ200" s="24"/>
      <x:c r="AK200" s="24"/>
      <x:c r="AL200" s="24"/>
    </x:row>
  </x:sheetData>
  <x:conditionalFormatting sqref="U1:W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X1:X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Z1:AA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G1:AH1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7f4c2c786fd4846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.25" hidden="0" customWidth="1"/>
    <x:col min="2" max="2" width="61.380001068115234" hidden="0" customWidth="1"/>
    <x:col min="4" max="4" width="9" hidden="0" customWidth="1"/>
    <x:col min="5" max="5" width="49.130001068115234" hidden="0" customWidth="1"/>
    <x:col min="7" max="7" width="9.75" hidden="0" customWidth="1"/>
    <x:col min="8" max="8" width="47.630001068115234" hidden="0" customWidth="1"/>
  </x:cols>
  <x:sheetData>
    <x:row r="1" ht="24" customHeight="1">
      <x:c r="A1" s="13" t="str">
        <x:v>Evidence Confidence</x:v>
      </x:c>
      <x:c r="B1" s="13" t="str">
        <x:v>Definition</x:v>
      </x:c>
      <x:c r="C1" s="13" t="str"/>
      <x:c r="D1" s="13" t="str">
        <x:v>Source Tier</x:v>
      </x:c>
      <x:c r="E1" s="13" t="str">
        <x:v>Definition</x:v>
      </x:c>
      <x:c r="F1" s="13" t="str"/>
      <x:c r="G1" s="13" t="str">
        <x:v>Rating Scale</x:v>
      </x:c>
      <x:c r="H1" s="13" t="str">
        <x:v>Definition</x:v>
      </x:c>
      <x:c r="I1" s="24"/>
      <x:c r="J1" s="24"/>
      <x:c r="K1" s="24"/>
      <x:c r="L1" s="24"/>
      <x:c r="M1" s="24"/>
      <x:c r="N1" s="24"/>
    </x:row>
    <x:row r="2">
      <x:c r="A2" s="24" t="str">
        <x:v>A</x:v>
      </x:c>
      <x:c r="B2" s="24" t="str">
        <x:v>Multiple peer-reviewed studies and regional corroboration</x:v>
      </x:c>
      <x:c r="C2" s="24" t="str"/>
      <x:c r="D2" s="24" t="str">
        <x:v>Tier 1</x:v>
      </x:c>
      <x:c r="E2" s="24" t="str">
        <x:v>Peer-reviewed literature</x:v>
      </x:c>
      <x:c r="F2" s="24" t="str"/>
      <x:c r="G2" s="24" t="str">
        <x:v>0</x:v>
      </x:c>
      <x:c r="H2" s="24" t="str">
        <x:v>Not applicable / no value</x:v>
      </x:c>
      <x:c r="I2" s="24"/>
      <x:c r="J2" s="24"/>
      <x:c r="K2" s="24"/>
      <x:c r="L2" s="24"/>
      <x:c r="M2" s="24"/>
      <x:c r="N2" s="24"/>
    </x:row>
    <x:row r="3">
      <x:c r="A3" s="24" t="str">
        <x:v>B</x:v>
      </x:c>
      <x:c r="B3" s="24" t="str">
        <x:v>One peer-reviewed or technical source plus authoritative regional source</x:v>
      </x:c>
      <x:c r="C3" s="24" t="str"/>
      <x:c r="D3" s="24" t="str">
        <x:v>Tier 2</x:v>
      </x:c>
      <x:c r="E3" s="24" t="str">
        <x:v>Government, academic, technical manuals, data centres</x:v>
      </x:c>
      <x:c r="F3" s="24" t="str"/>
      <x:c r="G3" s="24" t="str">
        <x:v>1</x:v>
      </x:c>
      <x:c r="H3" s="24" t="str">
        <x:v>Very low</x:v>
      </x:c>
      <x:c r="I3" s="24"/>
      <x:c r="J3" s="24"/>
      <x:c r="K3" s="24"/>
      <x:c r="L3" s="24"/>
      <x:c r="M3" s="24"/>
      <x:c r="N3" s="24"/>
    </x:row>
    <x:row r="4">
      <x:c r="A4" s="24" t="str">
        <x:v>C</x:v>
      </x:c>
      <x:c r="B4" s="24" t="str">
        <x:v>Regional expert source plus authoritative corroboration; limited primary literature</x:v>
      </x:c>
      <x:c r="C4" s="24" t="str"/>
      <x:c r="D4" s="24" t="str">
        <x:v>Tier 3</x:v>
      </x:c>
      <x:c r="E4" s="24" t="str">
        <x:v>Regional expert/practitioner source such as Satinflower Nurseries</x:v>
      </x:c>
      <x:c r="F4" s="24" t="str"/>
      <x:c r="G4" s="24" t="str">
        <x:v>2</x:v>
      </x:c>
      <x:c r="H4" s="24" t="str">
        <x:v>Low</x:v>
      </x:c>
      <x:c r="I4" s="24"/>
      <x:c r="J4" s="24"/>
      <x:c r="K4" s="24"/>
      <x:c r="L4" s="24"/>
      <x:c r="M4" s="24"/>
      <x:c r="N4" s="24"/>
    </x:row>
    <x:row r="5">
      <x:c r="A5" s="24" t="str">
        <x:v>D</x:v>
      </x:c>
      <x:c r="B5" s="24" t="str">
        <x:v>Limited evidence; include only with caution and explicit notes</x:v>
      </x:c>
      <x:c r="C5" s="24" t="str"/>
      <x:c r="D5" s="24" t="str">
        <x:v>Excluded</x:v>
      </x:c>
      <x:c r="E5" s="24" t="str">
        <x:v>City of Vancouver GRI Planting Guidelines PDF</x:v>
      </x:c>
      <x:c r="F5" s="24" t="str"/>
      <x:c r="G5" s="24" t="str">
        <x:v>3</x:v>
      </x:c>
      <x:c r="H5" s="24" t="str">
        <x:v>Moderate</x:v>
      </x:c>
      <x:c r="I5" s="24"/>
      <x:c r="J5" s="24"/>
      <x:c r="K5" s="24"/>
      <x:c r="L5" s="24"/>
      <x:c r="M5" s="24"/>
      <x:c r="N5" s="24"/>
    </x:row>
    <x:row r="6">
      <x:c r="A6" s="24" t="str"/>
      <x:c r="B6" s="24" t="str"/>
      <x:c r="C6" s="24" t="str"/>
      <x:c r="D6" s="24" t="str"/>
      <x:c r="E6" s="24" t="str"/>
      <x:c r="F6" s="24" t="str"/>
      <x:c r="G6" s="24" t="str">
        <x:v>4</x:v>
      </x:c>
      <x:c r="H6" s="24" t="str">
        <x:v>High</x:v>
      </x:c>
      <x:c r="I6" s="24"/>
      <x:c r="J6" s="24"/>
      <x:c r="K6" s="24"/>
      <x:c r="L6" s="24"/>
      <x:c r="M6" s="24"/>
      <x:c r="N6" s="24"/>
    </x:row>
    <x:row r="7">
      <x:c r="A7" s="24" t="str"/>
      <x:c r="B7" s="24" t="str"/>
      <x:c r="C7" s="24" t="str"/>
      <x:c r="D7" s="24" t="str"/>
      <x:c r="E7" s="24" t="str"/>
      <x:c r="F7" s="24" t="str"/>
      <x:c r="G7" s="24" t="str">
        <x:v>5</x:v>
      </x:c>
      <x:c r="H7" s="24" t="str">
        <x:v>Very high</x:v>
      </x:c>
      <x:c r="I7" s="24"/>
      <x:c r="J7" s="24"/>
      <x:c r="K7" s="24"/>
      <x:c r="L7" s="24"/>
      <x:c r="M7" s="24"/>
      <x:c r="N7" s="24"/>
    </x:row>
    <x:row r="8">
      <x:c r="A8" s="24" t="str">
        <x:v>Life Cycle</x:v>
      </x:c>
      <x:c r="B8" s="24" t="str">
        <x:v>Perennial; Annual; Biennial; Evergreen subshrub; Perennial geophyte</x:v>
      </x:c>
      <x:c r="C8" s="24" t="str"/>
      <x:c r="D8" s="24" t="str">
        <x:v>Suitability</x:v>
      </x:c>
      <x:c r="E8" s="24" t="str">
        <x:v>Low; Medium; High; Exception candidate</x:v>
      </x:c>
      <x:c r="F8" s="24" t="str"/>
      <x:c r="G8" s="24" t="str">
        <x:v>Data Status</x:v>
      </x:c>
      <x:c r="H8" s="24" t="str">
        <x:v>Preliminary; Reviewed draft; Verified</x:v>
      </x:c>
      <x:c r="I8" s="24"/>
      <x:c r="J8" s="24"/>
      <x:c r="K8" s="24"/>
      <x:c r="L8" s="24"/>
      <x:c r="M8" s="24"/>
      <x:c r="N8" s="24"/>
    </x:row>
    <x:row r="9">
      <x:c r="A9" s="24" t="str">
        <x:v>Light</x:v>
      </x:c>
      <x:c r="B9" s="24" t="str">
        <x:v>Full sun; Part sun; Part shade; Shade</x:v>
      </x:c>
      <x:c r="C9" s="24" t="str"/>
      <x:c r="D9" s="24" t="str">
        <x:v>Moisture</x:v>
      </x:c>
      <x:c r="E9" s="24" t="str">
        <x:v>Dry; Dry to mesic; Mesic; Moist; Moist to wet; Wet</x:v>
      </x:c>
      <x:c r="F9" s="24" t="str"/>
      <x:c r="G9" s="24" t="str">
        <x:v>Source Use</x:v>
      </x:c>
      <x:c r="H9" s="24" t="str">
        <x:v>Taxonomy; Habitat; Propagation; Seed; Pollinator; Conservation</x:v>
      </x:c>
      <x:c r="I9" s="24"/>
      <x:c r="J9" s="24"/>
      <x:c r="K9" s="24"/>
      <x:c r="L9" s="24"/>
      <x:c r="M9" s="24"/>
      <x:c r="N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55.130001068115234" hidden="0" customWidth="1"/>
    <x:col min="2" max="2" width="67.62999725341797" hidden="0" customWidth="1"/>
    <x:col min="3" max="3" width="65.37999725341797" hidden="0" customWidth="1"/>
    <x:col min="4" max="4" width="59.25" hidden="0" customWidth="1"/>
  </x:cols>
  <x:sheetData>
    <x:row r="1" ht="24" customHeight="1">
      <x:c r="A1" s="13" t="str">
        <x:v>Project Reference Policy</x:v>
      </x:c>
      <x:c r="B1" s="13" t="str">
        <x:v>Version</x:v>
      </x:c>
      <x:c r="C1" s="13" t="str">
        <x:v>1.0.0c</x:v>
      </x:c>
      <x:c r="D1" s="13" t="str">
        <x:v>Updated 2026-07-01</x:v>
      </x:c>
      <x:c r="E1" s="24"/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4" t="str">
        <x:v>Approved source categories</x:v>
      </x:c>
      <x:c r="B2" s="24" t="str"/>
      <x:c r="C2" s="24" t="str"/>
      <x:c r="D2" s="24" t="str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24" t="str">
        <x:v>Tier 1</x:v>
      </x:c>
      <x:c r="B3" s="24" t="str">
        <x:v>Peer-reviewed literature</x:v>
      </x:c>
      <x:c r="C3" s="24" t="str">
        <x:v>Use for pollinator associations, specialist bee records, seed ecology, restoration ecology</x:v>
      </x:c>
      <x:c r="D3" s="24" t="str"/>
      <x:c r="E3" s="24"/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A4" s="24" t="str">
        <x:v>Tier 2</x:v>
      </x:c>
      <x:c r="B4" s="24" t="str">
        <x:v>Government, academic, and technical sources</x:v>
      </x:c>
      <x:c r="C4" s="24" t="str">
        <x:v>Use for taxonomy, native range, conservation status, habitat, technical propagation</x:v>
      </x:c>
      <x:c r="D4" s="24" t="str">
        <x:v>E-Flora BC; BC CDC; NatureServe; Flora of North America; Native Plant Network</x:v>
      </x:c>
      <x:c r="E4" s="24"/>
      <x:c r="F4" s="24"/>
      <x:c r="G4" s="24"/>
      <x:c r="H4" s="24"/>
      <x:c r="I4" s="24"/>
      <x:c r="J4" s="24"/>
      <x:c r="K4" s="24"/>
      <x:c r="L4" s="24"/>
      <x:c r="M4" s="24"/>
      <x:c r="N4" s="24"/>
    </x:row>
    <x:row r="5">
      <x:c r="A5" s="24" t="str">
        <x:v>Tier 3</x:v>
      </x:c>
      <x:c r="B5" s="24" t="str">
        <x:v>Regional expert/practitioner sources</x:v>
      </x:c>
      <x:c r="C5" s="24" t="str">
        <x:v>Use for propagation, establishment, plant availability, regional horticultural guidance</x:v>
      </x:c>
      <x:c r="D5" s="24" t="str">
        <x:v>Satinflower Nurseries included</x:v>
      </x:c>
      <x:c r="E5" s="24"/>
      <x:c r="F5" s="24"/>
      <x:c r="G5" s="24"/>
      <x:c r="H5" s="24"/>
      <x:c r="I5" s="24"/>
      <x:c r="J5" s="24"/>
      <x:c r="K5" s="24"/>
      <x:c r="L5" s="24"/>
      <x:c r="M5" s="24"/>
      <x:c r="N5" s="24"/>
    </x:row>
    <x:row r="6">
      <x:c r="A6" s="24" t="str">
        <x:v>Excluded source</x:v>
      </x:c>
      <x:c r="B6" s="24" t="str"/>
      <x:c r="C6" s="24" t="str"/>
      <x:c r="D6" s="24" t="str"/>
      <x:c r="E6" s="24"/>
      <x:c r="F6" s="24"/>
      <x:c r="G6" s="24"/>
      <x:c r="H6" s="24"/>
      <x:c r="I6" s="24"/>
      <x:c r="J6" s="24"/>
      <x:c r="K6" s="24"/>
      <x:c r="L6" s="24"/>
      <x:c r="M6" s="24"/>
      <x:c r="N6" s="24"/>
    </x:row>
    <x:row r="7">
      <x:c r="A7" s="24" t="str">
        <x:v>City of Vancouver Green Rainwater Infrastructure Planting Guidelines PDF</x:v>
      </x:c>
      <x:c r="B7" s="24" t="str">
        <x:v>Excluded by project decision</x:v>
      </x:c>
      <x:c r="C7" s="24" t="str">
        <x:v>Do not cite or use for data in this workbook</x:v>
      </x:c>
      <x:c r="D7" s="24" t="str">
        <x:v>https://vancouver.ca/files/cov/vancouver-gri-planting-guidelines.pdf</x:v>
      </x:c>
      <x:c r="E7" s="24"/>
      <x:c r="F7" s="24"/>
      <x:c r="G7" s="24"/>
      <x:c r="H7" s="24"/>
      <x:c r="I7" s="24"/>
      <x:c r="J7" s="24"/>
      <x:c r="K7" s="24"/>
      <x:c r="L7" s="24"/>
      <x:c r="M7" s="24"/>
      <x:c r="N7" s="24"/>
    </x:row>
    <x:row r="8">
      <x:c r="A8" s="24" t="str">
        <x:v>Attribution rule</x:v>
      </x:c>
      <x:c r="B8" s="24" t="str">
        <x:v>Every evidence-bearing field should map to Source_Attribution before final verification</x:v>
      </x:c>
      <x:c r="C8" s="24" t="str"/>
      <x:c r="D8" s="24" t="str"/>
      <x:c r="E8" s="24"/>
      <x:c r="F8" s="24"/>
      <x:c r="G8" s="24"/>
      <x:c r="H8" s="24"/>
      <x:c r="I8" s="24"/>
      <x:c r="J8" s="24"/>
      <x:c r="K8" s="24"/>
      <x:c r="L8" s="24"/>
      <x:c r="M8" s="24"/>
      <x:c r="N8" s="24"/>
    </x:row>
    <x:row r="9">
      <x:c r="A9" s="24" t="str">
        <x:v>Height rule</x:v>
      </x:c>
      <x:c r="B9" s="24" t="str">
        <x:v>v1.0 focuses on species typically ≤60 cm; exceptions must be flagged in Notes/Data_Status</x:v>
      </x:c>
      <x:c r="C9" s="24" t="str"/>
      <x:c r="D9" s="24" t="str"/>
      <x:c r="E9" s="24"/>
      <x:c r="F9" s="24"/>
      <x:c r="G9" s="24"/>
      <x:c r="H9" s="24"/>
      <x:c r="I9" s="24"/>
      <x:c r="J9" s="24"/>
      <x:c r="K9" s="24"/>
      <x:c r="L9" s="24"/>
      <x:c r="M9" s="24"/>
      <x:c r="N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37.630001068115234" hidden="0" customWidth="1"/>
    <x:col min="3" max="3" width="16.5" hidden="0" customWidth="1"/>
    <x:col min="4" max="4" width="9.5" hidden="0" customWidth="1"/>
    <x:col min="5" max="5" width="75.87999725341797" hidden="0" customWidth="1"/>
    <x:col min="6" max="6" width="43.5" hidden="0" customWidth="1"/>
    <x:col min="7" max="7" width="9.130000114440918" hidden="0" customWidth="1"/>
    <x:col min="8" max="8" width="50.5" hidden="0" customWidth="1"/>
  </x:cols>
  <x:sheetData>
    <x:row r="1" ht="24" customHeight="1">
      <x:c r="A1" s="13" t="str">
        <x:v>Species_ID</x:v>
      </x:c>
      <x:c r="B1" s="13" t="str">
        <x:v>Field</x:v>
      </x:c>
      <x:c r="C1" s="13" t="str">
        <x:v>Source_Name</x:v>
      </x:c>
      <x:c r="D1" s="13" t="str">
        <x:v>Source_Tier</x:v>
      </x:c>
      <x:c r="E1" s="13" t="str">
        <x:v>URL</x:v>
      </x:c>
      <x:c r="F1" s="13" t="str">
        <x:v>Use</x:v>
      </x:c>
      <x:c r="G1" s="13" t="str">
        <x:v>Confidence</x:v>
      </x:c>
      <x:c r="H1" s="13" t="str">
        <x:v>Notes</x:v>
      </x:c>
      <x:c r="I1" s="24"/>
      <x:c r="J1" s="24"/>
      <x:c r="K1" s="24"/>
      <x:c r="L1" s="24"/>
      <x:c r="M1" s="24"/>
      <x:c r="N1" s="24"/>
    </x:row>
    <x:row r="2">
      <x:c r="A2" s="24" t="str">
        <x:v>CDF-0001</x:v>
      </x:c>
      <x:c r="B2" s="24" t="str">
        <x:v>Taxonomy / Native range / Habitat</x:v>
      </x:c>
      <x:c r="C2" s="24" t="str">
        <x:v>E-Flora BC</x:v>
      </x:c>
      <x:c r="D2" s="24" t="str">
        <x:v>Tier 2</x:v>
      </x:c>
      <x:c r="E2" s="24" t="str">
        <x:v>https://linnet.geog.ubc.ca/Atlas/Atlas.aspx?noTransfer=0&amp;sciname=Achillea+millefolium</x:v>
      </x:c>
      <x:c r="F2" s="24" t="str">
        <x:v>Distribution, habitat, nomenclature</x:v>
      </x:c>
      <x:c r="G2" s="24" t="str">
        <x:v>B</x:v>
      </x:c>
      <x:c r="H2" s="24" t="str">
        <x:v>Primary regional plant atlas</x:v>
      </x:c>
      <x:c r="I2" s="24"/>
      <x:c r="J2" s="24"/>
      <x:c r="K2" s="24"/>
      <x:c r="L2" s="24"/>
      <x:c r="M2" s="24"/>
      <x:c r="N2" s="24"/>
    </x:row>
    <x:row r="3">
      <x:c r="A3" s="24" t="str">
        <x:v>CDF-0001</x:v>
      </x:c>
      <x:c r="B3" s="24" t="str">
        <x:v>Propagation / establishment / practical cultivation</x:v>
      </x:c>
      <x:c r="C3" s="24" t="str">
        <x:v>Satinflower Nurseries</x:v>
      </x:c>
      <x:c r="D3" s="24" t="str">
        <x:v>Tier 3</x:v>
      </x:c>
      <x:c r="E3" s="24" t="str">
        <x:v>https://satinflower.ca/products/achillea-millefolium</x:v>
      </x:c>
      <x:c r="F3" s="24" t="str">
        <x:v>Regional propagation and restoration-practice guidance</x:v>
      </x:c>
      <x:c r="G3" s="24" t="str">
        <x:v>C</x:v>
      </x:c>
      <x:c r="H3" s="24" t="str">
        <x:v>Use as practitioner source, not sole authority for ecological scoring</x:v>
      </x:c>
      <x:c r="I3" s="24"/>
      <x:c r="J3" s="24"/>
      <x:c r="K3" s="24"/>
      <x:c r="L3" s="24"/>
      <x:c r="M3" s="24"/>
      <x:c r="N3" s="24"/>
    </x:row>
    <x:row r="4">
      <x:c r="A4" s="24" t="str">
        <x:v>CDF-0002</x:v>
      </x:c>
      <x:c r="B4" s="24" t="str">
        <x:v>Taxonomy / Native range / Habitat</x:v>
      </x:c>
      <x:c r="C4" s="24" t="str">
        <x:v>E-Flora BC</x:v>
      </x:c>
      <x:c r="D4" s="24" t="str">
        <x:v>Tier 2</x:v>
      </x:c>
      <x:c r="E4" s="24" t="str">
        <x:v>https://linnet.geog.ubc.ca/Atlas/Atlas.aspx?noTransfer=0&amp;sciname=Fragaria+virginiana</x:v>
      </x:c>
      <x:c r="F4" s="24" t="str">
        <x:v>Distribution, habitat, nomenclature</x:v>
      </x:c>
      <x:c r="G4" s="24" t="str">
        <x:v>B</x:v>
      </x:c>
      <x:c r="H4" s="24" t="str">
        <x:v>Primary regional plant atlas</x:v>
      </x:c>
      <x:c r="I4" s="24"/>
      <x:c r="J4" s="24"/>
      <x:c r="K4" s="24"/>
      <x:c r="L4" s="24"/>
      <x:c r="M4" s="24"/>
      <x:c r="N4" s="24"/>
    </x:row>
    <x:row r="5">
      <x:c r="A5" s="24" t="str">
        <x:v>CDF-0002</x:v>
      </x:c>
      <x:c r="B5" s="24" t="str">
        <x:v>Propagation / establishment / practical cultivation</x:v>
      </x:c>
      <x:c r="C5" s="24" t="str">
        <x:v>Satinflower Nurseries</x:v>
      </x:c>
      <x:c r="D5" s="24" t="str">
        <x:v>Tier 3</x:v>
      </x:c>
      <x:c r="E5" s="24" t="str">
        <x:v>https://satinflower.ca/</x:v>
      </x:c>
      <x:c r="F5" s="24" t="str">
        <x:v>Regional propagation and practical cultivation cross-check</x:v>
      </x:c>
      <x:c r="G5" s="24" t="str">
        <x:v>C</x:v>
      </x:c>
      <x:c r="H5" s="24" t="str">
        <x:v>Product/species page to be added when verified</x:v>
      </x:c>
      <x:c r="I5" s="24"/>
      <x:c r="J5" s="24"/>
      <x:c r="K5" s="24"/>
      <x:c r="L5" s="24"/>
      <x:c r="M5" s="24"/>
      <x:c r="N5" s="24"/>
    </x:row>
    <x:row r="6">
      <x:c r="A6" s="24" t="str">
        <x:v>CDF-0003</x:v>
      </x:c>
      <x:c r="B6" s="24" t="str">
        <x:v>Taxonomy / Native range / Habitat</x:v>
      </x:c>
      <x:c r="C6" s="24" t="str">
        <x:v>E-Flora BC</x:v>
      </x:c>
      <x:c r="D6" s="24" t="str">
        <x:v>Tier 2</x:v>
      </x:c>
      <x:c r="E6" s="24" t="str">
        <x:v>https://linnet.geog.ubc.ca/Atlas/Atlas.aspx?noTransfer=0&amp;sciname=Prunella+vulgaris+var.+lanceolata</x:v>
      </x:c>
      <x:c r="F6" s="24" t="str">
        <x:v>Distribution, habitat, nomenclature</x:v>
      </x:c>
      <x:c r="G6" s="24" t="str">
        <x:v>B</x:v>
      </x:c>
      <x:c r="H6" s="24" t="str">
        <x:v>Primary regional plant atlas</x:v>
      </x:c>
      <x:c r="I6" s="24"/>
      <x:c r="J6" s="24"/>
      <x:c r="K6" s="24"/>
      <x:c r="L6" s="24"/>
      <x:c r="M6" s="24"/>
      <x:c r="N6" s="24"/>
    </x:row>
    <x:row r="7">
      <x:c r="A7" s="24" t="str">
        <x:v>CDF-0003</x:v>
      </x:c>
      <x:c r="B7" s="24" t="str">
        <x:v>Propagation / establishment / practical cultivation</x:v>
      </x:c>
      <x:c r="C7" s="24" t="str">
        <x:v>Satinflower Nurseries</x:v>
      </x:c>
      <x:c r="D7" s="24" t="str">
        <x:v>Tier 3</x:v>
      </x:c>
      <x:c r="E7" s="24" t="str">
        <x:v>https://satinflower.ca/</x:v>
      </x:c>
      <x:c r="F7" s="24" t="str">
        <x:v>Regional propagation and practical cultivation cross-check</x:v>
      </x:c>
      <x:c r="G7" s="24" t="str">
        <x:v>C</x:v>
      </x:c>
      <x:c r="H7" s="24" t="str">
        <x:v>Product/species page to be added when verified</x:v>
      </x:c>
      <x:c r="I7" s="24"/>
      <x:c r="J7" s="24"/>
      <x:c r="K7" s="24"/>
      <x:c r="L7" s="24"/>
      <x:c r="M7" s="24"/>
      <x:c r="N7" s="24"/>
    </x:row>
    <x:row r="8">
      <x:c r="A8" s="24" t="str">
        <x:v>CDF-0004</x:v>
      </x:c>
      <x:c r="B8" s="24" t="str">
        <x:v>Taxonomy / Native range / Habitat</x:v>
      </x:c>
      <x:c r="C8" s="24" t="str">
        <x:v>E-Flora BC</x:v>
      </x:c>
      <x:c r="D8" s="24" t="str">
        <x:v>Tier 2</x:v>
      </x:c>
      <x:c r="E8" s="24" t="str">
        <x:v>https://linnet.geog.ubc.ca/Atlas/Atlas.aspx?noTransfer=0&amp;sciname=Camassia+quamash</x:v>
      </x:c>
      <x:c r="F8" s="24" t="str">
        <x:v>Distribution, habitat, nomenclature</x:v>
      </x:c>
      <x:c r="G8" s="24" t="str">
        <x:v>B</x:v>
      </x:c>
      <x:c r="H8" s="24" t="str">
        <x:v>Primary regional plant atlas</x:v>
      </x:c>
      <x:c r="I8" s="24"/>
      <x:c r="J8" s="24"/>
      <x:c r="K8" s="24"/>
      <x:c r="L8" s="24"/>
      <x:c r="M8" s="24"/>
      <x:c r="N8" s="24"/>
    </x:row>
    <x:row r="9">
      <x:c r="A9" s="24" t="str">
        <x:v>CDF-0004</x:v>
      </x:c>
      <x:c r="B9" s="24" t="str">
        <x:v>Propagation / establishment / practical cultivation</x:v>
      </x:c>
      <x:c r="C9" s="24" t="str">
        <x:v>Satinflower Nurseries</x:v>
      </x:c>
      <x:c r="D9" s="24" t="str">
        <x:v>Tier 3</x:v>
      </x:c>
      <x:c r="E9" s="24" t="str">
        <x:v>https://satinflower.ca/products/camassia-quamash</x:v>
      </x:c>
      <x:c r="F9" s="24" t="str">
        <x:v>Regional propagation and restoration-practice guidance</x:v>
      </x:c>
      <x:c r="G9" s="24" t="str">
        <x:v>C</x:v>
      </x:c>
      <x:c r="H9" s="24" t="str">
        <x:v>Use as practitioner source, not sole authority for ecological scoring</x:v>
      </x:c>
      <x:c r="I9" s="24"/>
      <x:c r="J9" s="24"/>
      <x:c r="K9" s="24"/>
      <x:c r="L9" s="24"/>
      <x:c r="M9" s="24"/>
      <x:c r="N9" s="24"/>
    </x:row>
    <x:row r="10">
      <x:c r="A10" s="24" t="str">
        <x:v>CDF-0005</x:v>
      </x:c>
      <x:c r="B10" s="24" t="str">
        <x:v>Taxonomy / Native range / Habitat</x:v>
      </x:c>
      <x:c r="C10" s="24" t="str">
        <x:v>E-Flora BC</x:v>
      </x:c>
      <x:c r="D10" s="24" t="str">
        <x:v>Tier 2</x:v>
      </x:c>
      <x:c r="E10" s="24" t="str">
        <x:v>https://linnet.geog.ubc.ca/Atlas/Atlas.aspx?noTransfer=0&amp;sciname=Aquilegia+formosa</x:v>
      </x:c>
      <x:c r="F10" s="24" t="str">
        <x:v>Distribution, habitat, nomenclature</x:v>
      </x:c>
      <x:c r="G10" s="24" t="str">
        <x:v>B</x:v>
      </x:c>
      <x:c r="H10" s="24" t="str">
        <x:v>Primary regional plant atlas</x:v>
      </x:c>
      <x:c r="I10" s="24"/>
      <x:c r="J10" s="24"/>
      <x:c r="K10" s="24"/>
      <x:c r="L10" s="24"/>
      <x:c r="M10" s="24"/>
      <x:c r="N10" s="24"/>
    </x:row>
    <x:row r="11">
      <x:c r="A11" s="24" t="str">
        <x:v>CDF-0005</x:v>
      </x:c>
      <x:c r="B11" s="24" t="str">
        <x:v>Propagation / establishment / practical cultivation</x:v>
      </x:c>
      <x:c r="C11" s="24" t="str">
        <x:v>Satinflower Nurseries</x:v>
      </x:c>
      <x:c r="D11" s="24" t="str">
        <x:v>Tier 3</x:v>
      </x:c>
      <x:c r="E11" s="24" t="str">
        <x:v>https://satinflower.ca/</x:v>
      </x:c>
      <x:c r="F11" s="24" t="str">
        <x:v>Regional propagation and practical cultivation cross-check</x:v>
      </x:c>
      <x:c r="G11" s="24" t="str">
        <x:v>C</x:v>
      </x:c>
      <x:c r="H11" s="24" t="str">
        <x:v>Product/species page to be added when verified</x:v>
      </x:c>
      <x:c r="I11" s="24"/>
      <x:c r="J11" s="24"/>
      <x:c r="K11" s="24"/>
      <x:c r="L11" s="24"/>
      <x:c r="M11" s="24"/>
      <x:c r="N11" s="24"/>
    </x:row>
    <x:row r="12">
      <x:c r="A12" s="24" t="str">
        <x:v>CDF-0006</x:v>
      </x:c>
      <x:c r="B12" s="24" t="str">
        <x:v>Taxonomy / Native range / Habitat</x:v>
      </x:c>
      <x:c r="C12" s="24" t="str">
        <x:v>E-Flora BC</x:v>
      </x:c>
      <x:c r="D12" s="24" t="str">
        <x:v>Tier 2</x:v>
      </x:c>
      <x:c r="E12" s="24" t="str">
        <x:v>https://linnet.geog.ubc.ca/Atlas/Atlas.aspx?noTransfer=0&amp;sciname=Tellima+grandiflora</x:v>
      </x:c>
      <x:c r="F12" s="24" t="str">
        <x:v>Distribution, habitat, nomenclature</x:v>
      </x:c>
      <x:c r="G12" s="24" t="str">
        <x:v>B</x:v>
      </x:c>
      <x:c r="H12" s="24" t="str">
        <x:v>Primary regional plant atlas</x:v>
      </x:c>
      <x:c r="I12" s="24"/>
      <x:c r="J12" s="24"/>
      <x:c r="K12" s="24"/>
      <x:c r="L12" s="24"/>
      <x:c r="M12" s="24"/>
      <x:c r="N12" s="24"/>
    </x:row>
    <x:row r="13">
      <x:c r="A13" s="24" t="str">
        <x:v>CDF-0006</x:v>
      </x:c>
      <x:c r="B13" s="24" t="str">
        <x:v>Propagation / establishment / practical cultivation</x:v>
      </x:c>
      <x:c r="C13" s="24" t="str">
        <x:v>Satinflower Nurseries</x:v>
      </x:c>
      <x:c r="D13" s="24" t="str">
        <x:v>Tier 3</x:v>
      </x:c>
      <x:c r="E13" s="24" t="str">
        <x:v>https://satinflower.ca/</x:v>
      </x:c>
      <x:c r="F13" s="24" t="str">
        <x:v>Regional propagation and practical cultivation cross-check</x:v>
      </x:c>
      <x:c r="G13" s="24" t="str">
        <x:v>C</x:v>
      </x:c>
      <x:c r="H13" s="24" t="str">
        <x:v>Product/species page to be added when verified</x:v>
      </x:c>
      <x:c r="I13" s="24"/>
      <x:c r="J13" s="24"/>
      <x:c r="K13" s="24"/>
      <x:c r="L13" s="24"/>
      <x:c r="M13" s="24"/>
      <x:c r="N13" s="24"/>
    </x:row>
    <x:row r="14">
      <x:c r="A14" s="24" t="str">
        <x:v>CDF-0007</x:v>
      </x:c>
      <x:c r="B14" s="24" t="str">
        <x:v>Taxonomy / Native range / Habitat</x:v>
      </x:c>
      <x:c r="C14" s="24" t="str">
        <x:v>E-Flora BC</x:v>
      </x:c>
      <x:c r="D14" s="24" t="str">
        <x:v>Tier 2</x:v>
      </x:c>
      <x:c r="E14" s="24" t="str">
        <x:v>https://linnet.geog.ubc.ca/Atlas/Atlas.aspx?noTransfer=0&amp;sciname=Tiarella+trifoliata</x:v>
      </x:c>
      <x:c r="F14" s="24" t="str">
        <x:v>Distribution, habitat, nomenclature</x:v>
      </x:c>
      <x:c r="G14" s="24" t="str">
        <x:v>B</x:v>
      </x:c>
      <x:c r="H14" s="24" t="str">
        <x:v>Primary regional plant atlas</x:v>
      </x:c>
      <x:c r="I14" s="24"/>
      <x:c r="J14" s="24"/>
      <x:c r="K14" s="24"/>
      <x:c r="L14" s="24"/>
      <x:c r="M14" s="24"/>
      <x:c r="N14" s="24"/>
    </x:row>
    <x:row r="15">
      <x:c r="A15" s="24" t="str">
        <x:v>CDF-0007</x:v>
      </x:c>
      <x:c r="B15" s="24" t="str">
        <x:v>Propagation / establishment / practical cultivation</x:v>
      </x:c>
      <x:c r="C15" s="24" t="str">
        <x:v>Satinflower Nurseries</x:v>
      </x:c>
      <x:c r="D15" s="24" t="str">
        <x:v>Tier 3</x:v>
      </x:c>
      <x:c r="E15" s="24" t="str">
        <x:v>https://satinflower.ca/</x:v>
      </x:c>
      <x:c r="F15" s="24" t="str">
        <x:v>Regional propagation and practical cultivation cross-check</x:v>
      </x:c>
      <x:c r="G15" s="24" t="str">
        <x:v>C</x:v>
      </x:c>
      <x:c r="H15" s="24" t="str">
        <x:v>Product/species page to be added when verified</x:v>
      </x:c>
      <x:c r="I15" s="24"/>
      <x:c r="J15" s="24"/>
      <x:c r="K15" s="24"/>
      <x:c r="L15" s="24"/>
      <x:c r="M15" s="24"/>
      <x:c r="N15" s="24"/>
    </x:row>
    <x:row r="16">
      <x:c r="A16" s="24" t="str">
        <x:v>CDF-0008</x:v>
      </x:c>
      <x:c r="B16" s="24" t="str">
        <x:v>Taxonomy / Native range / Habitat</x:v>
      </x:c>
      <x:c r="C16" s="24" t="str">
        <x:v>E-Flora BC</x:v>
      </x:c>
      <x:c r="D16" s="24" t="str">
        <x:v>Tier 2</x:v>
      </x:c>
      <x:c r="E16" s="24" t="str">
        <x:v>https://linnet.geog.ubc.ca/Atlas/Atlas.aspx?noTransfer=0&amp;sciname=Viola+adunca</x:v>
      </x:c>
      <x:c r="F16" s="24" t="str">
        <x:v>Distribution, habitat, nomenclature</x:v>
      </x:c>
      <x:c r="G16" s="24" t="str">
        <x:v>B</x:v>
      </x:c>
      <x:c r="H16" s="24" t="str">
        <x:v>Primary regional plant atlas</x:v>
      </x:c>
      <x:c r="I16" s="24"/>
      <x:c r="J16" s="24"/>
      <x:c r="K16" s="24"/>
      <x:c r="L16" s="24"/>
      <x:c r="M16" s="24"/>
      <x:c r="N16" s="24"/>
    </x:row>
    <x:row r="17">
      <x:c r="A17" s="24" t="str">
        <x:v>CDF-0008</x:v>
      </x:c>
      <x:c r="B17" s="24" t="str">
        <x:v>Propagation / establishment / practical cultivation</x:v>
      </x:c>
      <x:c r="C17" s="24" t="str">
        <x:v>Satinflower Nurseries</x:v>
      </x:c>
      <x:c r="D17" s="24" t="str">
        <x:v>Tier 3</x:v>
      </x:c>
      <x:c r="E17" s="24" t="str">
        <x:v>https://satinflower.ca/</x:v>
      </x:c>
      <x:c r="F17" s="24" t="str">
        <x:v>Regional propagation and practical cultivation cross-check</x:v>
      </x:c>
      <x:c r="G17" s="24" t="str">
        <x:v>C</x:v>
      </x:c>
      <x:c r="H17" s="24" t="str">
        <x:v>Product/species page to be added when verified</x:v>
      </x:c>
      <x:c r="I17" s="24"/>
      <x:c r="J17" s="24"/>
      <x:c r="K17" s="24"/>
      <x:c r="L17" s="24"/>
      <x:c r="M17" s="24"/>
      <x:c r="N17" s="24"/>
    </x:row>
    <x:row r="18">
      <x:c r="A18" s="24" t="str">
        <x:v>CDF-0009</x:v>
      </x:c>
      <x:c r="B18" s="24" t="str">
        <x:v>Taxonomy / Native range / Habitat</x:v>
      </x:c>
      <x:c r="C18" s="24" t="str">
        <x:v>E-Flora BC</x:v>
      </x:c>
      <x:c r="D18" s="24" t="str">
        <x:v>Tier 2</x:v>
      </x:c>
      <x:c r="E18" s="24" t="str">
        <x:v>https://linnet.geog.ubc.ca/Atlas/Atlas.aspx?noTransfer=0&amp;sciname=Viola+glabella</x:v>
      </x:c>
      <x:c r="F18" s="24" t="str">
        <x:v>Distribution, habitat, nomenclature</x:v>
      </x:c>
      <x:c r="G18" s="24" t="str">
        <x:v>B</x:v>
      </x:c>
      <x:c r="H18" s="24" t="str">
        <x:v>Primary regional plant atlas</x:v>
      </x:c>
      <x:c r="I18" s="24"/>
      <x:c r="J18" s="24"/>
      <x:c r="K18" s="24"/>
      <x:c r="L18" s="24"/>
      <x:c r="M18" s="24"/>
      <x:c r="N18" s="24"/>
    </x:row>
    <x:row r="19">
      <x:c r="A19" s="24" t="str">
        <x:v>CDF-0009</x:v>
      </x:c>
      <x:c r="B19" s="24" t="str">
        <x:v>Propagation / establishment / practical cultivation</x:v>
      </x:c>
      <x:c r="C19" s="24" t="str">
        <x:v>Satinflower Nurseries</x:v>
      </x:c>
      <x:c r="D19" s="24" t="str">
        <x:v>Tier 3</x:v>
      </x:c>
      <x:c r="E19" s="24" t="str">
        <x:v>https://satinflower.ca/</x:v>
      </x:c>
      <x:c r="F19" s="24" t="str">
        <x:v>Regional propagation and practical cultivation cross-check</x:v>
      </x:c>
      <x:c r="G19" s="24" t="str">
        <x:v>C</x:v>
      </x:c>
      <x:c r="H19" s="24" t="str">
        <x:v>Product/species page to be added when verified</x:v>
      </x:c>
      <x:c r="I19" s="24"/>
      <x:c r="J19" s="24"/>
      <x:c r="K19" s="24"/>
      <x:c r="L19" s="24"/>
      <x:c r="M19" s="24"/>
      <x:c r="N19" s="24"/>
    </x:row>
    <x:row r="20">
      <x:c r="A20" s="24" t="str">
        <x:v>CDF-0010</x:v>
      </x:c>
      <x:c r="B20" s="24" t="str">
        <x:v>Taxonomy / Native range / Habitat</x:v>
      </x:c>
      <x:c r="C20" s="24" t="str">
        <x:v>E-Flora BC</x:v>
      </x:c>
      <x:c r="D20" s="24" t="str">
        <x:v>Tier 2</x:v>
      </x:c>
      <x:c r="E20" s="24" t="str">
        <x:v>https://linnet.geog.ubc.ca/Atlas/Atlas.aspx?noTransfer=0&amp;sciname=Dicentra+formosa</x:v>
      </x:c>
      <x:c r="F20" s="24" t="str">
        <x:v>Distribution, habitat, nomenclature</x:v>
      </x:c>
      <x:c r="G20" s="24" t="str">
        <x:v>B</x:v>
      </x:c>
      <x:c r="H20" s="24" t="str">
        <x:v>Primary regional plant atlas</x:v>
      </x:c>
      <x:c r="I20" s="24"/>
      <x:c r="J20" s="24"/>
      <x:c r="K20" s="24"/>
      <x:c r="L20" s="24"/>
      <x:c r="M20" s="24"/>
      <x:c r="N20" s="24"/>
    </x:row>
    <x:row r="21">
      <x:c r="A21" s="24" t="str">
        <x:v>CDF-0010</x:v>
      </x:c>
      <x:c r="B21" s="24" t="str">
        <x:v>Propagation / establishment / practical cultivation</x:v>
      </x:c>
      <x:c r="C21" s="24" t="str">
        <x:v>Satinflower Nurseries</x:v>
      </x:c>
      <x:c r="D21" s="24" t="str">
        <x:v>Tier 3</x:v>
      </x:c>
      <x:c r="E21" s="24" t="str">
        <x:v>https://satinflower.ca/</x:v>
      </x:c>
      <x:c r="F21" s="24" t="str">
        <x:v>Regional propagation and practical cultivation cross-check</x:v>
      </x:c>
      <x:c r="G21" s="24" t="str">
        <x:v>C</x:v>
      </x:c>
      <x:c r="H21" s="24" t="str">
        <x:v>Product/species page to be added when verified</x:v>
      </x:c>
      <x:c r="I21" s="24"/>
      <x:c r="J21" s="24"/>
      <x:c r="K21" s="24"/>
      <x:c r="L21" s="24"/>
      <x:c r="M21" s="24"/>
      <x:c r="N21" s="24"/>
    </x:row>
    <x:row r="22">
      <x:c r="A22" s="24" t="str">
        <x:v>CDF-0011</x:v>
      </x:c>
      <x:c r="B22" s="24" t="str">
        <x:v>Taxonomy / Native range / Habitat</x:v>
      </x:c>
      <x:c r="C22" s="24" t="str">
        <x:v>E-Flora BC</x:v>
      </x:c>
      <x:c r="D22" s="24" t="str">
        <x:v>Tier 2</x:v>
      </x:c>
      <x:c r="E22" s="24" t="str">
        <x:v>https://linnet.geog.ubc.ca/Atlas/Atlas.aspx?noTransfer=0&amp;sciname=Allium+cernuum</x:v>
      </x:c>
      <x:c r="F22" s="24" t="str">
        <x:v>Distribution, habitat, nomenclature</x:v>
      </x:c>
      <x:c r="G22" s="24" t="str">
        <x:v>B</x:v>
      </x:c>
      <x:c r="H22" s="24" t="str">
        <x:v>Primary regional plant atlas</x:v>
      </x:c>
      <x:c r="I22" s="24"/>
      <x:c r="J22" s="24"/>
      <x:c r="K22" s="24"/>
      <x:c r="L22" s="24"/>
      <x:c r="M22" s="24"/>
      <x:c r="N22" s="24"/>
    </x:row>
    <x:row r="23">
      <x:c r="A23" s="24" t="str">
        <x:v>CDF-0011</x:v>
      </x:c>
      <x:c r="B23" s="24" t="str">
        <x:v>Propagation / establishment / practical cultivation</x:v>
      </x:c>
      <x:c r="C23" s="24" t="str">
        <x:v>Satinflower Nurseries</x:v>
      </x:c>
      <x:c r="D23" s="24" t="str">
        <x:v>Tier 3</x:v>
      </x:c>
      <x:c r="E23" s="24" t="str">
        <x:v>https://satinflower.ca/</x:v>
      </x:c>
      <x:c r="F23" s="24" t="str">
        <x:v>Regional propagation and practical cultivation cross-check</x:v>
      </x:c>
      <x:c r="G23" s="24" t="str">
        <x:v>C</x:v>
      </x:c>
      <x:c r="H23" s="24" t="str">
        <x:v>Product/species page to be added when verified</x:v>
      </x:c>
      <x:c r="I23" s="24"/>
      <x:c r="J23" s="24"/>
      <x:c r="K23" s="24"/>
      <x:c r="L23" s="24"/>
      <x:c r="M23" s="24"/>
      <x:c r="N23" s="24"/>
    </x:row>
    <x:row r="24">
      <x:c r="A24" s="24" t="str">
        <x:v>CDF-0012</x:v>
      </x:c>
      <x:c r="B24" s="24" t="str">
        <x:v>Taxonomy / Native range / Habitat</x:v>
      </x:c>
      <x:c r="C24" s="24" t="str">
        <x:v>E-Flora BC</x:v>
      </x:c>
      <x:c r="D24" s="24" t="str">
        <x:v>Tier 2</x:v>
      </x:c>
      <x:c r="E24" s="24" t="str">
        <x:v>https://linnet.geog.ubc.ca/Atlas/Atlas.aspx?noTransfer=0&amp;sciname=Eriophyllum+lanatum</x:v>
      </x:c>
      <x:c r="F24" s="24" t="str">
        <x:v>Distribution, habitat, nomenclature</x:v>
      </x:c>
      <x:c r="G24" s="24" t="str">
        <x:v>B</x:v>
      </x:c>
      <x:c r="H24" s="24" t="str">
        <x:v>Primary regional plant atlas</x:v>
      </x:c>
      <x:c r="I24" s="24"/>
      <x:c r="J24" s="24"/>
      <x:c r="K24" s="24"/>
      <x:c r="L24" s="24"/>
      <x:c r="M24" s="24"/>
      <x:c r="N24" s="24"/>
    </x:row>
    <x:row r="25">
      <x:c r="A25" s="24" t="str">
        <x:v>CDF-0012</x:v>
      </x:c>
      <x:c r="B25" s="24" t="str">
        <x:v>Propagation / establishment / practical cultivation</x:v>
      </x:c>
      <x:c r="C25" s="24" t="str">
        <x:v>Satinflower Nurseries</x:v>
      </x:c>
      <x:c r="D25" s="24" t="str">
        <x:v>Tier 3</x:v>
      </x:c>
      <x:c r="E25" s="24" t="str">
        <x:v>https://satinflower.ca/</x:v>
      </x:c>
      <x:c r="F25" s="24" t="str">
        <x:v>Regional propagation and practical cultivation cross-check</x:v>
      </x:c>
      <x:c r="G25" s="24" t="str">
        <x:v>C</x:v>
      </x:c>
      <x:c r="H25" s="24" t="str">
        <x:v>Product/species page to be added when verified</x:v>
      </x:c>
      <x:c r="I25" s="24"/>
      <x:c r="J25" s="24"/>
      <x:c r="K25" s="24"/>
      <x:c r="L25" s="24"/>
      <x:c r="M25" s="24"/>
      <x:c r="N25" s="24"/>
    </x:row>
    <x:row r="26">
      <x:c r="A26" s="24" t="str">
        <x:v>CDF-0013</x:v>
      </x:c>
      <x:c r="B26" s="24" t="str">
        <x:v>Taxonomy / Native range / Habitat</x:v>
      </x:c>
      <x:c r="C26" s="24" t="str">
        <x:v>E-Flora BC</x:v>
      </x:c>
      <x:c r="D26" s="24" t="str">
        <x:v>Tier 2</x:v>
      </x:c>
      <x:c r="E26" s="24" t="str">
        <x:v>https://linnet.geog.ubc.ca/Atlas/Atlas.aspx?noTransfer=0&amp;sciname=Lomatium+nudicaule</x:v>
      </x:c>
      <x:c r="F26" s="24" t="str">
        <x:v>Distribution, habitat, nomenclature</x:v>
      </x:c>
      <x:c r="G26" s="24" t="str">
        <x:v>B</x:v>
      </x:c>
      <x:c r="H26" s="24" t="str">
        <x:v>Primary regional plant atlas</x:v>
      </x:c>
      <x:c r="I26" s="24"/>
      <x:c r="J26" s="24"/>
      <x:c r="K26" s="24"/>
      <x:c r="L26" s="24"/>
      <x:c r="M26" s="24"/>
      <x:c r="N26" s="24"/>
    </x:row>
    <x:row r="27">
      <x:c r="A27" s="24" t="str">
        <x:v>CDF-0013</x:v>
      </x:c>
      <x:c r="B27" s="24" t="str">
        <x:v>Propagation / establishment / practical cultivation</x:v>
      </x:c>
      <x:c r="C27" s="24" t="str">
        <x:v>Satinflower Nurseries</x:v>
      </x:c>
      <x:c r="D27" s="24" t="str">
        <x:v>Tier 3</x:v>
      </x:c>
      <x:c r="E27" s="24" t="str">
        <x:v>https://satinflower.ca/</x:v>
      </x:c>
      <x:c r="F27" s="24" t="str">
        <x:v>Regional propagation and practical cultivation cross-check</x:v>
      </x:c>
      <x:c r="G27" s="24" t="str">
        <x:v>C</x:v>
      </x:c>
      <x:c r="H27" s="24" t="str">
        <x:v>Product/species page to be added when verified</x:v>
      </x:c>
      <x:c r="I27" s="24"/>
      <x:c r="J27" s="24"/>
      <x:c r="K27" s="24"/>
      <x:c r="L27" s="24"/>
      <x:c r="M27" s="24"/>
      <x:c r="N27" s="24"/>
    </x:row>
    <x:row r="28">
      <x:c r="A28" s="24" t="str">
        <x:v>CDF-0014</x:v>
      </x:c>
      <x:c r="B28" s="24" t="str">
        <x:v>Taxonomy / Native range / Habitat</x:v>
      </x:c>
      <x:c r="C28" s="24" t="str">
        <x:v>E-Flora BC</x:v>
      </x:c>
      <x:c r="D28" s="24" t="str">
        <x:v>Tier 2</x:v>
      </x:c>
      <x:c r="E28" s="24" t="str">
        <x:v>https://linnet.geog.ubc.ca/Atlas/Atlas.aspx?noTransfer=0&amp;sciname=Plectritis+congesta</x:v>
      </x:c>
      <x:c r="F28" s="24" t="str">
        <x:v>Distribution, habitat, nomenclature</x:v>
      </x:c>
      <x:c r="G28" s="24" t="str">
        <x:v>B</x:v>
      </x:c>
      <x:c r="H28" s="24" t="str">
        <x:v>Primary regional plant atlas</x:v>
      </x:c>
      <x:c r="I28" s="24"/>
      <x:c r="J28" s="24"/>
      <x:c r="K28" s="24"/>
      <x:c r="L28" s="24"/>
      <x:c r="M28" s="24"/>
      <x:c r="N28" s="24"/>
    </x:row>
    <x:row r="29">
      <x:c r="A29" s="24" t="str">
        <x:v>CDF-0014</x:v>
      </x:c>
      <x:c r="B29" s="24" t="str">
        <x:v>Propagation / establishment / practical cultivation</x:v>
      </x:c>
      <x:c r="C29" s="24" t="str">
        <x:v>Satinflower Nurseries</x:v>
      </x:c>
      <x:c r="D29" s="24" t="str">
        <x:v>Tier 3</x:v>
      </x:c>
      <x:c r="E29" s="24" t="str">
        <x:v>https://satinflower.ca/</x:v>
      </x:c>
      <x:c r="F29" s="24" t="str">
        <x:v>Regional propagation and practical cultivation cross-check</x:v>
      </x:c>
      <x:c r="G29" s="24" t="str">
        <x:v>C</x:v>
      </x:c>
      <x:c r="H29" s="24" t="str">
        <x:v>Product/species page to be added when verified</x:v>
      </x:c>
      <x:c r="I29" s="24"/>
      <x:c r="J29" s="24"/>
      <x:c r="K29" s="24"/>
      <x:c r="L29" s="24"/>
      <x:c r="M29" s="24"/>
      <x:c r="N29" s="24"/>
    </x:row>
    <x:row r="30">
      <x:c r="A30" s="24" t="str">
        <x:v>CDF-0015</x:v>
      </x:c>
      <x:c r="B30" s="24" t="str">
        <x:v>Taxonomy / Native range / Habitat</x:v>
      </x:c>
      <x:c r="C30" s="24" t="str">
        <x:v>E-Flora BC</x:v>
      </x:c>
      <x:c r="D30" s="24" t="str">
        <x:v>Tier 2</x:v>
      </x:c>
      <x:c r="E30" s="24" t="str">
        <x:v>https://linnet.geog.ubc.ca/Atlas/Atlas.aspx?noTransfer=0&amp;sciname=Collinsia+parviflora</x:v>
      </x:c>
      <x:c r="F30" s="24" t="str">
        <x:v>Distribution, habitat, nomenclature</x:v>
      </x:c>
      <x:c r="G30" s="24" t="str">
        <x:v>B</x:v>
      </x:c>
      <x:c r="H30" s="24" t="str">
        <x:v>Primary regional plant atlas</x:v>
      </x:c>
      <x:c r="I30" s="24"/>
      <x:c r="J30" s="24"/>
      <x:c r="K30" s="24"/>
      <x:c r="L30" s="24"/>
      <x:c r="M30" s="24"/>
      <x:c r="N30" s="24"/>
    </x:row>
    <x:row r="31">
      <x:c r="A31" s="24" t="str">
        <x:v>CDF-0015</x:v>
      </x:c>
      <x:c r="B31" s="24" t="str">
        <x:v>Propagation / establishment / practical cultivation</x:v>
      </x:c>
      <x:c r="C31" s="24" t="str">
        <x:v>Satinflower Nurseries</x:v>
      </x:c>
      <x:c r="D31" s="24" t="str">
        <x:v>Tier 3</x:v>
      </x:c>
      <x:c r="E31" s="24" t="str">
        <x:v>https://satinflower.ca/</x:v>
      </x:c>
      <x:c r="F31" s="24" t="str">
        <x:v>Regional propagation and practical cultivation cross-check</x:v>
      </x:c>
      <x:c r="G31" s="24" t="str">
        <x:v>C</x:v>
      </x:c>
      <x:c r="H31" s="24" t="str">
        <x:v>Product/species page to be added when verified</x:v>
      </x:c>
      <x:c r="I31" s="24"/>
      <x:c r="J31" s="24"/>
      <x:c r="K31" s="24"/>
      <x:c r="L31" s="24"/>
      <x:c r="M31" s="24"/>
      <x:c r="N31" s="24"/>
    </x:row>
    <x:row r="32">
      <x:c r="A32" s="24" t="str">
        <x:v>CDF-0016</x:v>
      </x:c>
      <x:c r="B32" s="24" t="str">
        <x:v>Taxonomy / Native range / Habitat</x:v>
      </x:c>
      <x:c r="C32" s="24" t="str">
        <x:v>E-Flora BC</x:v>
      </x:c>
      <x:c r="D32" s="24" t="str">
        <x:v>Tier 2</x:v>
      </x:c>
      <x:c r="E32" s="24" t="str">
        <x:v>https://linnet.geog.ubc.ca/Atlas/Atlas.aspx?noTransfer=0&amp;sciname=Clinopodium+douglasii</x:v>
      </x:c>
      <x:c r="F32" s="24" t="str">
        <x:v>Distribution, habitat, nomenclature</x:v>
      </x:c>
      <x:c r="G32" s="24" t="str">
        <x:v>B</x:v>
      </x:c>
      <x:c r="H32" s="24" t="str">
        <x:v>Primary regional plant atlas</x:v>
      </x:c>
      <x:c r="I32" s="24"/>
      <x:c r="J32" s="24"/>
      <x:c r="K32" s="24"/>
      <x:c r="L32" s="24"/>
      <x:c r="M32" s="24"/>
      <x:c r="N32" s="24"/>
    </x:row>
    <x:row r="33">
      <x:c r="A33" s="24" t="str">
        <x:v>CDF-0016</x:v>
      </x:c>
      <x:c r="B33" s="24" t="str">
        <x:v>Propagation / establishment / practical cultivation</x:v>
      </x:c>
      <x:c r="C33" s="24" t="str">
        <x:v>Satinflower Nurseries</x:v>
      </x:c>
      <x:c r="D33" s="24" t="str">
        <x:v>Tier 3</x:v>
      </x:c>
      <x:c r="E33" s="24" t="str">
        <x:v>https://satinflower.ca/</x:v>
      </x:c>
      <x:c r="F33" s="24" t="str">
        <x:v>Regional propagation and practical cultivation cross-check</x:v>
      </x:c>
      <x:c r="G33" s="24" t="str">
        <x:v>C</x:v>
      </x:c>
      <x:c r="H33" s="24" t="str">
        <x:v>Product/species page to be added when verified</x:v>
      </x:c>
      <x:c r="I33" s="24"/>
      <x:c r="J33" s="24"/>
      <x:c r="K33" s="24"/>
      <x:c r="L33" s="24"/>
      <x:c r="M33" s="24"/>
      <x:c r="N33" s="24"/>
    </x:row>
    <x:row r="34">
      <x:c r="A34" s="24" t="str">
        <x:v>CDF-0017</x:v>
      </x:c>
      <x:c r="B34" s="24" t="str">
        <x:v>Taxonomy / Native range / Habitat</x:v>
      </x:c>
      <x:c r="C34" s="24" t="str">
        <x:v>E-Flora BC</x:v>
      </x:c>
      <x:c r="D34" s="24" t="str">
        <x:v>Tier 2</x:v>
      </x:c>
      <x:c r="E34" s="24" t="str">
        <x:v>https://linnet.geog.ubc.ca/Atlas/Atlas.aspx?noTransfer=0&amp;sciname=Arctostaphylos+uva-ursi</x:v>
      </x:c>
      <x:c r="F34" s="24" t="str">
        <x:v>Distribution, habitat, nomenclature</x:v>
      </x:c>
      <x:c r="G34" s="24" t="str">
        <x:v>B</x:v>
      </x:c>
      <x:c r="H34" s="24" t="str">
        <x:v>Primary regional plant atlas</x:v>
      </x:c>
      <x:c r="I34" s="24"/>
      <x:c r="J34" s="24"/>
      <x:c r="K34" s="24"/>
      <x:c r="L34" s="24"/>
      <x:c r="M34" s="24"/>
      <x:c r="N34" s="24"/>
    </x:row>
    <x:row r="35">
      <x:c r="A35" s="24" t="str">
        <x:v>CDF-0017</x:v>
      </x:c>
      <x:c r="B35" s="24" t="str">
        <x:v>Propagation / establishment / practical cultivation</x:v>
      </x:c>
      <x:c r="C35" s="24" t="str">
        <x:v>Satinflower Nurseries</x:v>
      </x:c>
      <x:c r="D35" s="24" t="str">
        <x:v>Tier 3</x:v>
      </x:c>
      <x:c r="E35" s="24" t="str">
        <x:v>https://satinflower.ca/</x:v>
      </x:c>
      <x:c r="F35" s="24" t="str">
        <x:v>Regional propagation and practical cultivation cross-check</x:v>
      </x:c>
      <x:c r="G35" s="24" t="str">
        <x:v>C</x:v>
      </x:c>
      <x:c r="H35" s="24" t="str">
        <x:v>Product/species page to be added when verified</x:v>
      </x:c>
      <x:c r="I35" s="24"/>
      <x:c r="J35" s="24"/>
      <x:c r="K35" s="24"/>
      <x:c r="L35" s="24"/>
      <x:c r="M35" s="24"/>
      <x:c r="N35" s="24"/>
    </x:row>
    <x:row r="36">
      <x:c r="A36" s="24" t="str">
        <x:v>CDF-0018</x:v>
      </x:c>
      <x:c r="B36" s="24" t="str">
        <x:v>Taxonomy / Native range / Habitat</x:v>
      </x:c>
      <x:c r="C36" s="24" t="str">
        <x:v>E-Flora BC</x:v>
      </x:c>
      <x:c r="D36" s="24" t="str">
        <x:v>Tier 2</x:v>
      </x:c>
      <x:c r="E36" s="24" t="str">
        <x:v>https://linnet.geog.ubc.ca/Atlas/Atlas.aspx?noTransfer=0&amp;sciname=Mahonia+nervosa</x:v>
      </x:c>
      <x:c r="F36" s="24" t="str">
        <x:v>Distribution, habitat, nomenclature</x:v>
      </x:c>
      <x:c r="G36" s="24" t="str">
        <x:v>B</x:v>
      </x:c>
      <x:c r="H36" s="24" t="str">
        <x:v>Primary regional plant atlas</x:v>
      </x:c>
      <x:c r="I36" s="24"/>
      <x:c r="J36" s="24"/>
      <x:c r="K36" s="24"/>
      <x:c r="L36" s="24"/>
      <x:c r="M36" s="24"/>
      <x:c r="N36" s="24"/>
    </x:row>
    <x:row r="37">
      <x:c r="A37" s="24" t="str">
        <x:v>CDF-0018</x:v>
      </x:c>
      <x:c r="B37" s="24" t="str">
        <x:v>Propagation / establishment / practical cultivation</x:v>
      </x:c>
      <x:c r="C37" s="24" t="str">
        <x:v>Satinflower Nurseries</x:v>
      </x:c>
      <x:c r="D37" s="24" t="str">
        <x:v>Tier 3</x:v>
      </x:c>
      <x:c r="E37" s="24" t="str">
        <x:v>https://satinflower.ca/</x:v>
      </x:c>
      <x:c r="F37" s="24" t="str">
        <x:v>Regional propagation and practical cultivation cross-check</x:v>
      </x:c>
      <x:c r="G37" s="24" t="str">
        <x:v>C</x:v>
      </x:c>
      <x:c r="H37" s="24" t="str">
        <x:v>Product/species page to be added when verified</x:v>
      </x:c>
      <x:c r="I37" s="24"/>
      <x:c r="J37" s="24"/>
      <x:c r="K37" s="24"/>
      <x:c r="L37" s="24"/>
      <x:c r="M37" s="24"/>
      <x:c r="N37" s="24"/>
    </x:row>
    <x:row r="38">
      <x:c r="A38" s="24" t="str">
        <x:v>CDF-0019</x:v>
      </x:c>
      <x:c r="B38" s="24" t="str">
        <x:v>Taxonomy / Native range / Habitat</x:v>
      </x:c>
      <x:c r="C38" s="24" t="str">
        <x:v>E-Flora BC</x:v>
      </x:c>
      <x:c r="D38" s="24" t="str">
        <x:v>Tier 2</x:v>
      </x:c>
      <x:c r="E38" s="24" t="str">
        <x:v>https://linnet.geog.ubc.ca/Atlas/Atlas.aspx?noTransfer=0&amp;sciname=Maianthemum+dilatatum</x:v>
      </x:c>
      <x:c r="F38" s="24" t="str">
        <x:v>Distribution, habitat, nomenclature</x:v>
      </x:c>
      <x:c r="G38" s="24" t="str">
        <x:v>B</x:v>
      </x:c>
      <x:c r="H38" s="24" t="str">
        <x:v>Primary regional plant atlas</x:v>
      </x:c>
      <x:c r="I38" s="24"/>
      <x:c r="J38" s="24"/>
      <x:c r="K38" s="24"/>
      <x:c r="L38" s="24"/>
      <x:c r="M38" s="24"/>
      <x:c r="N38" s="24"/>
    </x:row>
    <x:row r="39">
      <x:c r="A39" s="24" t="str">
        <x:v>CDF-0019</x:v>
      </x:c>
      <x:c r="B39" s="24" t="str">
        <x:v>Propagation / establishment / practical cultivation</x:v>
      </x:c>
      <x:c r="C39" s="24" t="str">
        <x:v>Satinflower Nurseries</x:v>
      </x:c>
      <x:c r="D39" s="24" t="str">
        <x:v>Tier 3</x:v>
      </x:c>
      <x:c r="E39" s="24" t="str">
        <x:v>https://satinflower.ca/</x:v>
      </x:c>
      <x:c r="F39" s="24" t="str">
        <x:v>Regional propagation and practical cultivation cross-check</x:v>
      </x:c>
      <x:c r="G39" s="24" t="str">
        <x:v>C</x:v>
      </x:c>
      <x:c r="H39" s="24" t="str">
        <x:v>Product/species page to be added when verified</x:v>
      </x:c>
      <x:c r="I39" s="24"/>
      <x:c r="J39" s="24"/>
      <x:c r="K39" s="24"/>
      <x:c r="L39" s="24"/>
      <x:c r="M39" s="24"/>
      <x:c r="N39" s="24"/>
    </x:row>
    <x:row r="40">
      <x:c r="A40" s="24" t="str">
        <x:v>CDF-0020</x:v>
      </x:c>
      <x:c r="B40" s="24" t="str">
        <x:v>Taxonomy / Native range / Habitat</x:v>
      </x:c>
      <x:c r="C40" s="24" t="str">
        <x:v>E-Flora BC</x:v>
      </x:c>
      <x:c r="D40" s="24" t="str">
        <x:v>Tier 2</x:v>
      </x:c>
      <x:c r="E40" s="24" t="str">
        <x:v>https://linnet.geog.ubc.ca/Atlas/Atlas.aspx?noTransfer=0&amp;sciname=Carex+obnupta</x:v>
      </x:c>
      <x:c r="F40" s="24" t="str">
        <x:v>Distribution, habitat, nomenclature</x:v>
      </x:c>
      <x:c r="G40" s="24" t="str">
        <x:v>B</x:v>
      </x:c>
      <x:c r="H40" s="24" t="str">
        <x:v>Primary regional plant atlas</x:v>
      </x:c>
      <x:c r="I40" s="24"/>
      <x:c r="J40" s="24"/>
      <x:c r="K40" s="24"/>
      <x:c r="L40" s="24"/>
      <x:c r="M40" s="24"/>
      <x:c r="N40" s="24"/>
    </x:row>
    <x:row r="41">
      <x:c r="A41" s="24" t="str">
        <x:v>CDF-0020</x:v>
      </x:c>
      <x:c r="B41" s="24" t="str">
        <x:v>Propagation / establishment / practical cultivation</x:v>
      </x:c>
      <x:c r="C41" s="24" t="str">
        <x:v>Satinflower Nurseries</x:v>
      </x:c>
      <x:c r="D41" s="24" t="str">
        <x:v>Tier 3</x:v>
      </x:c>
      <x:c r="E41" s="24" t="str">
        <x:v>https://satinflower.ca/</x:v>
      </x:c>
      <x:c r="F41" s="24" t="str">
        <x:v>Regional propagation and practical cultivation cross-check</x:v>
      </x:c>
      <x:c r="G41" s="24" t="str">
        <x:v>C</x:v>
      </x:c>
      <x:c r="H41" s="24" t="str">
        <x:v>Product/species page to be added when verified</x:v>
      </x:c>
      <x:c r="I41" s="24"/>
      <x:c r="J41" s="24"/>
      <x:c r="K41" s="24"/>
      <x:c r="L41" s="24"/>
      <x:c r="M41" s="24"/>
      <x:c r="N41" s="24"/>
    </x:row>
    <x:row r="42">
      <x:c r="A42" s="24" t="str">
        <x:v>CDF-0001</x:v>
      </x:c>
      <x:c r="B42" s="24" t="str">
        <x:v>Seeds_per_kg / Dormancy_Class / Stratification</x:v>
      </x:c>
      <x:c r="C42" s="24" t="str">
        <x:v>Native Plant Network</x:v>
      </x:c>
      <x:c r="D42" s="24" t="str">
        <x:v>Tier 2</x:v>
      </x:c>
      <x:c r="E42" s="24" t="str">
        <x:v>https://npn.rngr.net/renderNPNProtocolDetails?selectedProtocolIds=asteraceae-achillea-11</x:v>
      </x:c>
      <x:c r="F42" s="24" t="str">
        <x:v>Seeds/kg, dormancy, germination protocol</x:v>
      </x:c>
      <x:c r="G42" s="24" t="str">
        <x:v>B</x:v>
      </x:c>
      <x:c r="H42" s="24" t="str">
        <x:v>Yarrow protocol reports 4,700,000 seeds/kg and non-dormant seed</x:v>
      </x:c>
      <x:c r="I42" s="24"/>
      <x:c r="J42" s="24"/>
      <x:c r="K42" s="24"/>
      <x:c r="L42" s="24"/>
      <x:c r="M42" s="24"/>
      <x:c r="N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</x:row>
  </x:sheetData>
  <x:pageMargins left="0.7" right="0.7" top="0.75" bottom="0.75" header="0.3" footer="0.3"/>
  <x:tableParts count="1">
    <x:tablePart xmlns:r="http://schemas.openxmlformats.org/officeDocument/2006/relationships" r:id="Rb76a1851e29245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23.8799991607666" hidden="0" customWidth="1"/>
    <x:col min="3" max="3" width="3" hidden="0" customWidth="1"/>
    <x:col min="4" max="4" width="3.25" hidden="0" customWidth="1"/>
    <x:col min="5" max="5" width="3.75" hidden="0" customWidth="1"/>
    <x:col min="6" max="6" width="3.25" hidden="0" customWidth="1"/>
    <x:col min="7" max="7" width="3.880000114440918" hidden="0" customWidth="1"/>
    <x:col min="8" max="8" width="3.130000114440918" hidden="0" customWidth="1"/>
    <x:col min="9" max="9" width="2.630000114440918" hidden="0" customWidth="1"/>
    <x:col min="10" max="10" width="3.5" hidden="0" customWidth="1"/>
    <x:col min="11" max="11" width="3.380000114440918" hidden="0" customWidth="1"/>
    <x:col min="12" max="12" width="3.25" hidden="0" customWidth="1"/>
    <x:col min="13" max="13" width="3.630000114440918" hidden="0" customWidth="1"/>
    <x:col min="14" max="14" width="3.380000114440918" hidden="0" customWidth="1"/>
  </x:cols>
  <x:sheetData>
    <x:row r="1" ht="24" customHeight="1">
      <x:c r="A1" s="13" t="str">
        <x:v>Species_ID</x:v>
      </x:c>
      <x:c r="B1" s="13" t="str">
        <x:v>Common_Name</x:v>
      </x:c>
      <x:c r="C1" s="13" t="str">
        <x:v>Jan</x:v>
      </x:c>
      <x:c r="D1" s="13" t="str">
        <x:v>Feb</x:v>
      </x:c>
      <x:c r="E1" s="13" t="str">
        <x:v>Mar</x:v>
      </x:c>
      <x:c r="F1" s="13" t="str">
        <x:v>Apr</x:v>
      </x:c>
      <x:c r="G1" s="13" t="str">
        <x:v>May</x:v>
      </x:c>
      <x:c r="H1" s="13" t="str">
        <x:v>Jun</x:v>
      </x:c>
      <x:c r="I1" s="13" t="str">
        <x:v>Jul</x:v>
      </x:c>
      <x:c r="J1" s="13" t="str">
        <x:v>Aug</x:v>
      </x:c>
      <x:c r="K1" s="13" t="str">
        <x:v>Sep</x:v>
      </x:c>
      <x:c r="L1" s="13" t="str">
        <x:v>Oct</x:v>
      </x:c>
      <x:c r="M1" s="13" t="str">
        <x:v>Nov</x:v>
      </x:c>
      <x:c r="N1" s="13" t="str">
        <x:v>Dec</x:v>
      </x:c>
    </x:row>
    <x:row r="2">
      <x:c r="A2" s="24" t="str">
        <x:v>CDF-0001</x:v>
      </x:c>
      <x:c r="B2" s="24" t="str">
        <x:v>Common Yarrow</x:v>
      </x:c>
      <x:c r="C2" s="24" t="n">
        <x:v>0</x:v>
      </x:c>
      <x:c r="D2" s="24" t="n">
        <x:v>0</x:v>
      </x:c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v>0</x:v>
      </x:c>
      <x:c r="J2" s="24" t="n">
        <x:v>0</x:v>
      </x:c>
      <x:c r="K2" s="24" t="n">
        <x:v>0</x:v>
      </x:c>
      <x:c r="L2" s="24" t="n">
        <x:v>0</x:v>
      </x:c>
      <x:c r="M2" s="24" t="n">
        <x:v>0</x:v>
      </x:c>
      <x:c r="N2" s="24" t="n">
        <x:v>0</x:v>
      </x:c>
    </x:row>
    <x:row r="3">
      <x:c r="A3" s="24" t="str">
        <x:v>CDF-0002</x:v>
      </x:c>
      <x:c r="B3" s="24" t="str">
        <x:v>Wild Strawberry</x:v>
      </x:c>
      <x:c r="C3" s="24" t="n">
        <x:v>0</x:v>
      </x:c>
      <x:c r="D3" s="24" t="n">
        <x:v>0</x:v>
      </x:c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v>0</x:v>
      </x:c>
      <x:c r="J3" s="24" t="n">
        <x:v>0</x:v>
      </x:c>
      <x:c r="K3" s="24" t="n">
        <x:v>0</x:v>
      </x:c>
      <x:c r="L3" s="24" t="n">
        <x:v>0</x:v>
      </x:c>
      <x:c r="M3" s="24" t="n">
        <x:v>0</x:v>
      </x:c>
      <x:c r="N3" s="24" t="n">
        <x:v>0</x:v>
      </x:c>
    </x:row>
    <x:row r="4">
      <x:c r="A4" s="24" t="str">
        <x:v>CDF-0003</x:v>
      </x:c>
      <x:c r="B4" s="24" t="str">
        <x:v>Lanceleaf Self-heal</x:v>
      </x:c>
      <x:c r="C4" s="24" t="n">
        <x:v>0</x:v>
      </x:c>
      <x:c r="D4" s="24" t="n">
        <x:v>0</x:v>
      </x:c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v>0</x:v>
      </x:c>
      <x:c r="J4" s="24" t="n">
        <x:v>0</x:v>
      </x:c>
      <x:c r="K4" s="24" t="n">
        <x:v>0</x:v>
      </x:c>
      <x:c r="L4" s="24" t="n">
        <x:v>0</x:v>
      </x:c>
      <x:c r="M4" s="24" t="n">
        <x:v>0</x:v>
      </x:c>
      <x:c r="N4" s="24" t="n">
        <x:v>0</x:v>
      </x:c>
    </x:row>
    <x:row r="5">
      <x:c r="A5" s="24" t="str">
        <x:v>CDF-0004</x:v>
      </x:c>
      <x:c r="B5" s="24" t="str">
        <x:v>Common Camas</x:v>
      </x:c>
      <x:c r="C5" s="24" t="n">
        <x:v>0</x:v>
      </x:c>
      <x:c r="D5" s="24" t="n">
        <x:v>0</x:v>
      </x:c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v>0</x:v>
      </x:c>
      <x:c r="J5" s="24" t="n">
        <x:v>0</x:v>
      </x:c>
      <x:c r="K5" s="24" t="n">
        <x:v>0</x:v>
      </x:c>
      <x:c r="L5" s="24" t="n">
        <x:v>0</x:v>
      </x:c>
      <x:c r="M5" s="24" t="n">
        <x:v>0</x:v>
      </x:c>
      <x:c r="N5" s="24" t="n">
        <x:v>0</x:v>
      </x:c>
    </x:row>
    <x:row r="6">
      <x:c r="A6" s="24" t="str">
        <x:v>CDF-0005</x:v>
      </x:c>
      <x:c r="B6" s="24" t="str">
        <x:v>Red Columbine</x:v>
      </x:c>
      <x:c r="C6" s="24" t="n">
        <x:v>0</x:v>
      </x:c>
      <x:c r="D6" s="24" t="n">
        <x:v>0</x:v>
      </x:c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v>0</x:v>
      </x:c>
      <x:c r="J6" s="24" t="n">
        <x:v>0</x:v>
      </x:c>
      <x:c r="K6" s="24" t="n">
        <x:v>0</x:v>
      </x:c>
      <x:c r="L6" s="24" t="n">
        <x:v>0</x:v>
      </x:c>
      <x:c r="M6" s="24" t="n">
        <x:v>0</x:v>
      </x:c>
      <x:c r="N6" s="24" t="n">
        <x:v>0</x:v>
      </x:c>
    </x:row>
    <x:row r="7">
      <x:c r="A7" s="24" t="str">
        <x:v>CDF-0006</x:v>
      </x:c>
      <x:c r="B7" s="24" t="str">
        <x:v>Fringecup</x:v>
      </x:c>
      <x:c r="C7" s="24" t="n">
        <x:v>0</x:v>
      </x:c>
      <x:c r="D7" s="24" t="n">
        <x:v>0</x:v>
      </x:c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v>0</x:v>
      </x:c>
      <x:c r="J7" s="24" t="n">
        <x:v>0</x:v>
      </x:c>
      <x:c r="K7" s="24" t="n">
        <x:v>0</x:v>
      </x:c>
      <x:c r="L7" s="24" t="n">
        <x:v>0</x:v>
      </x:c>
      <x:c r="M7" s="24" t="n">
        <x:v>0</x:v>
      </x:c>
      <x:c r="N7" s="24" t="n">
        <x:v>0</x:v>
      </x:c>
    </x:row>
    <x:row r="8">
      <x:c r="A8" s="24" t="str">
        <x:v>CDF-0007</x:v>
      </x:c>
      <x:c r="B8" s="24" t="str">
        <x:v>Foamflower</x:v>
      </x:c>
      <x:c r="C8" s="24" t="n">
        <x:v>0</x:v>
      </x:c>
      <x:c r="D8" s="24" t="n">
        <x:v>0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v>0</x:v>
      </x:c>
      <x:c r="J8" s="24" t="n">
        <x:v>0</x:v>
      </x:c>
      <x:c r="K8" s="24" t="n">
        <x:v>0</x:v>
      </x:c>
      <x:c r="L8" s="24" t="n">
        <x:v>0</x:v>
      </x:c>
      <x:c r="M8" s="24" t="n">
        <x:v>0</x:v>
      </x:c>
      <x:c r="N8" s="24" t="n">
        <x:v>0</x:v>
      </x:c>
    </x:row>
    <x:row r="9">
      <x:c r="A9" s="24" t="str">
        <x:v>CDF-0008</x:v>
      </x:c>
      <x:c r="B9" s="24" t="str">
        <x:v>Early Blue Violet</x:v>
      </x:c>
      <x:c r="C9" s="24" t="n">
        <x:v>0</x:v>
      </x:c>
      <x:c r="D9" s="24" t="n">
        <x:v>0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v>0</x:v>
      </x:c>
      <x:c r="J9" s="24" t="n">
        <x:v>0</x:v>
      </x:c>
      <x:c r="K9" s="24" t="n">
        <x:v>0</x:v>
      </x:c>
      <x:c r="L9" s="24" t="n">
        <x:v>0</x:v>
      </x:c>
      <x:c r="M9" s="24" t="n">
        <x:v>0</x:v>
      </x:c>
      <x:c r="N9" s="24" t="n">
        <x:v>0</x:v>
      </x:c>
    </x:row>
    <x:row r="10">
      <x:c r="A10" s="24" t="str">
        <x:v>CDF-0009</x:v>
      </x:c>
      <x:c r="B10" s="24" t="str">
        <x:v>Stream Violet</x:v>
      </x:c>
      <x:c r="C10" s="24" t="n">
        <x:v>0</x:v>
      </x:c>
      <x:c r="D10" s="24" t="n">
        <x:v>0</x:v>
      </x:c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v>0</x:v>
      </x:c>
      <x:c r="J10" s="24" t="n">
        <x:v>0</x:v>
      </x:c>
      <x:c r="K10" s="24" t="n">
        <x:v>0</x:v>
      </x:c>
      <x:c r="L10" s="24" t="n">
        <x:v>0</x:v>
      </x:c>
      <x:c r="M10" s="24" t="n">
        <x:v>0</x:v>
      </x:c>
      <x:c r="N10" s="24" t="n">
        <x:v>0</x:v>
      </x:c>
    </x:row>
    <x:row r="11">
      <x:c r="A11" s="24" t="str">
        <x:v>CDF-0010</x:v>
      </x:c>
      <x:c r="B11" s="24" t="str">
        <x:v>Pacific Bleeding Heart</x:v>
      </x:c>
      <x:c r="C11" s="24" t="n">
        <x:v>0</x:v>
      </x:c>
      <x:c r="D11" s="24" t="n">
        <x:v>0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v>0</x:v>
      </x:c>
      <x:c r="J11" s="24" t="n">
        <x:v>0</x:v>
      </x:c>
      <x:c r="K11" s="24" t="n">
        <x:v>0</x:v>
      </x:c>
      <x:c r="L11" s="24" t="n">
        <x:v>0</x:v>
      </x:c>
      <x:c r="M11" s="24" t="n">
        <x:v>0</x:v>
      </x:c>
      <x:c r="N11" s="24" t="n">
        <x:v>0</x:v>
      </x:c>
    </x:row>
    <x:row r="12">
      <x:c r="A12" s="24" t="str">
        <x:v>CDF-0011</x:v>
      </x:c>
      <x:c r="B12" s="24" t="str">
        <x:v>Nodding Onion</x:v>
      </x:c>
      <x:c r="C12" s="24" t="n">
        <x:v>0</x:v>
      </x:c>
      <x:c r="D12" s="24" t="n">
        <x:v>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v>0</x:v>
      </x:c>
      <x:c r="J12" s="24" t="n">
        <x:v>0</x:v>
      </x:c>
      <x:c r="K12" s="24" t="n">
        <x:v>0</x:v>
      </x:c>
      <x:c r="L12" s="24" t="n">
        <x:v>0</x:v>
      </x:c>
      <x:c r="M12" s="24" t="n">
        <x:v>0</x:v>
      </x:c>
      <x:c r="N12" s="24" t="n">
        <x:v>0</x:v>
      </x:c>
    </x:row>
    <x:row r="13">
      <x:c r="A13" s="24" t="str">
        <x:v>CDF-0012</x:v>
      </x:c>
      <x:c r="B13" s="24" t="str">
        <x:v>Oregon Sunshine</x:v>
      </x:c>
      <x:c r="C13" s="24" t="n">
        <x:v>0</x:v>
      </x:c>
      <x:c r="D13" s="24" t="n">
        <x:v>0</x:v>
      </x:c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v>0</x:v>
      </x:c>
      <x:c r="J13" s="24" t="n">
        <x:v>0</x:v>
      </x:c>
      <x:c r="K13" s="24" t="n">
        <x:v>0</x:v>
      </x:c>
      <x:c r="L13" s="24" t="n">
        <x:v>0</x:v>
      </x:c>
      <x:c r="M13" s="24" t="n">
        <x:v>0</x:v>
      </x:c>
      <x:c r="N13" s="24" t="n">
        <x:v>0</x:v>
      </x:c>
    </x:row>
    <x:row r="14">
      <x:c r="A14" s="24" t="str">
        <x:v>CDF-0013</x:v>
      </x:c>
      <x:c r="B14" s="24" t="str">
        <x:v>Bare-stem Desert-parsley</x:v>
      </x:c>
      <x:c r="C14" s="24" t="n">
        <x:v>0</x:v>
      </x:c>
      <x:c r="D14" s="24" t="n">
        <x:v>0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v>0</x:v>
      </x:c>
      <x:c r="J14" s="24" t="n">
        <x:v>0</x:v>
      </x:c>
      <x:c r="K14" s="24" t="n">
        <x:v>0</x:v>
      </x:c>
      <x:c r="L14" s="24" t="n">
        <x:v>0</x:v>
      </x:c>
      <x:c r="M14" s="24" t="n">
        <x:v>0</x:v>
      </x:c>
      <x:c r="N14" s="24" t="n">
        <x:v>0</x:v>
      </x:c>
    </x:row>
    <x:row r="15">
      <x:c r="A15" s="24" t="str">
        <x:v>CDF-0014</x:v>
      </x:c>
      <x:c r="B15" s="24" t="str">
        <x:v>Sea Blush</x:v>
      </x:c>
      <x:c r="C15" s="24" t="n">
        <x:v>0</x:v>
      </x:c>
      <x:c r="D15" s="24" t="n">
        <x:v>0</x:v>
      </x:c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v>0</x:v>
      </x:c>
      <x:c r="J15" s="24" t="n">
        <x:v>0</x:v>
      </x:c>
      <x:c r="K15" s="24" t="n">
        <x:v>0</x:v>
      </x:c>
      <x:c r="L15" s="24" t="n">
        <x:v>0</x:v>
      </x:c>
      <x:c r="M15" s="24" t="n">
        <x:v>0</x:v>
      </x:c>
      <x:c r="N15" s="24" t="n">
        <x:v>0</x:v>
      </x:c>
    </x:row>
    <x:row r="16">
      <x:c r="A16" s="24" t="str">
        <x:v>CDF-0015</x:v>
      </x:c>
      <x:c r="B16" s="24" t="str">
        <x:v>Small-flowered Blue-eyed Mary</x:v>
      </x:c>
      <x:c r="C16" s="24" t="n">
        <x:v>0</x:v>
      </x:c>
      <x:c r="D16" s="24" t="n">
        <x:v>0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v>0</x:v>
      </x:c>
      <x:c r="J16" s="24" t="n">
        <x:v>0</x:v>
      </x:c>
      <x:c r="K16" s="24" t="n">
        <x:v>0</x:v>
      </x:c>
      <x:c r="L16" s="24" t="n">
        <x:v>0</x:v>
      </x:c>
      <x:c r="M16" s="24" t="n">
        <x:v>0</x:v>
      </x:c>
      <x:c r="N16" s="24" t="n">
        <x:v>0</x:v>
      </x:c>
    </x:row>
    <x:row r="17">
      <x:c r="A17" s="24" t="str">
        <x:v>CDF-0016</x:v>
      </x:c>
      <x:c r="B17" s="24" t="str">
        <x:v>Yerba Buena</x:v>
      </x:c>
      <x:c r="C17" s="24" t="n">
        <x:v>0</x:v>
      </x:c>
      <x:c r="D17" s="24" t="n">
        <x:v>0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v>0</x:v>
      </x:c>
      <x:c r="J17" s="24" t="n">
        <x:v>0</x:v>
      </x:c>
      <x:c r="K17" s="24" t="n">
        <x:v>0</x:v>
      </x:c>
      <x:c r="L17" s="24" t="n">
        <x:v>0</x:v>
      </x:c>
      <x:c r="M17" s="24" t="n">
        <x:v>0</x:v>
      </x:c>
      <x:c r="N17" s="24" t="n">
        <x:v>0</x:v>
      </x:c>
    </x:row>
    <x:row r="18">
      <x:c r="A18" s="24" t="str">
        <x:v>CDF-0017</x:v>
      </x:c>
      <x:c r="B18" s="24" t="str">
        <x:v>Kinnikinnick</x:v>
      </x:c>
      <x:c r="C18" s="24" t="n">
        <x:v>0</x:v>
      </x:c>
      <x:c r="D18" s="24" t="n">
        <x:v>0</x:v>
      </x:c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v>0</x:v>
      </x:c>
      <x:c r="J18" s="24" t="n">
        <x:v>0</x:v>
      </x:c>
      <x:c r="K18" s="24" t="n">
        <x:v>0</x:v>
      </x:c>
      <x:c r="L18" s="24" t="n">
        <x:v>0</x:v>
      </x:c>
      <x:c r="M18" s="24" t="n">
        <x:v>0</x:v>
      </x:c>
      <x:c r="N18" s="24" t="n">
        <x:v>0</x:v>
      </x:c>
    </x:row>
    <x:row r="19">
      <x:c r="A19" s="24" t="str">
        <x:v>CDF-0018</x:v>
      </x:c>
      <x:c r="B19" s="24" t="str">
        <x:v>Dull Oregon-grape</x:v>
      </x:c>
      <x:c r="C19" s="24" t="n">
        <x:v>0</x:v>
      </x:c>
      <x:c r="D19" s="24" t="n">
        <x:v>0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v>0</x:v>
      </x:c>
      <x:c r="J19" s="24" t="n">
        <x:v>0</x:v>
      </x:c>
      <x:c r="K19" s="24" t="n">
        <x:v>0</x:v>
      </x:c>
      <x:c r="L19" s="24" t="n">
        <x:v>0</x:v>
      </x:c>
      <x:c r="M19" s="24" t="n">
        <x:v>0</x:v>
      </x:c>
      <x:c r="N19" s="24" t="n">
        <x:v>0</x:v>
      </x:c>
    </x:row>
    <x:row r="20">
      <x:c r="A20" s="24" t="str">
        <x:v>CDF-0019</x:v>
      </x:c>
      <x:c r="B20" s="24" t="str">
        <x:v>False Lily-of-the-Valley</x:v>
      </x:c>
      <x:c r="C20" s="24" t="n">
        <x:v>0</x:v>
      </x:c>
      <x:c r="D20" s="24" t="n">
        <x:v>0</x:v>
      </x:c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v>0</x:v>
      </x:c>
      <x:c r="J20" s="24" t="n">
        <x:v>0</x:v>
      </x:c>
      <x:c r="K20" s="24" t="n">
        <x:v>0</x:v>
      </x:c>
      <x:c r="L20" s="24" t="n">
        <x:v>0</x:v>
      </x:c>
      <x:c r="M20" s="24" t="n">
        <x:v>0</x:v>
      </x:c>
      <x:c r="N20" s="24" t="n">
        <x:v>0</x:v>
      </x:c>
    </x:row>
    <x:row r="21">
      <x:c r="A21" s="24" t="str">
        <x:v>CDF-0020</x:v>
      </x:c>
      <x:c r="B21" s="24" t="str">
        <x:v>Slough Sedge</x:v>
      </x:c>
      <x:c r="C21" s="24" t="n">
        <x:v>0</x:v>
      </x:c>
      <x:c r="D21" s="24" t="n">
        <x:v>0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v>0</x:v>
      </x:c>
      <x:c r="J21" s="24" t="n">
        <x:v>0</x:v>
      </x:c>
      <x:c r="K21" s="24" t="n">
        <x:v>0</x:v>
      </x:c>
      <x:c r="L21" s="24" t="n">
        <x:v>0</x:v>
      </x:c>
      <x:c r="M21" s="24" t="n">
        <x:v>0</x:v>
      </x:c>
      <x:c r="N21" s="24" t="n">
        <x:v>0</x:v>
      </x:c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</x:row>
    <x:row r="23">
      <x:c r="A23" s="24" t="str">
        <x:v>Monthly richness</x:v>
      </x:c>
      <x:c r="B23" s="24" t="str"/>
      <x:c r="C23" s="24" t="n">
        <x:f>SUM(C2:C21)</x:f>
        <x:v>0</x:v>
      </x:c>
      <x:c r="D23" s="24" t="n">
        <x:f>SUM(D2:D21)</x:f>
        <x:v>0</x:v>
      </x:c>
      <x:c r="E23" s="24" t="n">
        <x:f>SUM(E2:E21)</x:f>
        <x:v>0</x:v>
      </x:c>
      <x:c r="F23" s="24" t="n">
        <x:f>SUM(F2:F21)</x:f>
        <x:v>0</x:v>
      </x:c>
      <x:c r="G23" s="24" t="n">
        <x:f>SUM(G2:G21)</x:f>
        <x:v>0</x:v>
      </x:c>
      <x:c r="H23" s="24" t="n">
        <x:f>SUM(H2:H21)</x:f>
        <x:v>0</x:v>
      </x:c>
      <x:c r="I23" s="24" t="n">
        <x:f>SUM(I2:I21)</x:f>
        <x:v>0</x:v>
      </x:c>
      <x:c r="J23" s="24" t="n">
        <x:f>SUM(J2:J21)</x:f>
        <x:v>0</x:v>
      </x:c>
      <x:c r="K23" s="24" t="n">
        <x:f>SUM(K2:K21)</x:f>
        <x:v>0</x:v>
      </x:c>
      <x:c r="L23" s="24" t="n">
        <x:f>SUM(L2:L21)</x:f>
        <x:v>0</x:v>
      </x:c>
      <x:c r="M23" s="24" t="n">
        <x:f>SUM(M2:M21)</x:f>
        <x:v>0</x:v>
      </x:c>
      <x:c r="N23" s="24" t="n">
        <x:f>SUM(N2:N21)</x:f>
        <x:v>0</x:v>
      </x:c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</x:row>
  </x:sheetData>
  <x:conditionalFormatting sqref="C2:N21">
    <x:cfRule type="cellIs" dxfId="0" priority="1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e58ded8a74403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7.3799991607666" hidden="0" customWidth="1"/>
    <x:col min="2" max="2" width="40.25" hidden="0" customWidth="1"/>
    <x:col min="4" max="4" width="59.5" hidden="0" customWidth="1"/>
    <x:col min="5" max="5" width="19" hidden="0" customWidth="1"/>
    <x:col min="6" max="6" width="33.75" hidden="0" customWidth="1"/>
  </x:cols>
  <x:sheetData>
    <x:row r="1" ht="24" customHeight="1">
      <x:c r="A1" s="13" t="str">
        <x:v>Native Plant Restoration Workbook</x:v>
      </x:c>
      <x:c r="B1" s="13" t="str">
        <x:v>v1.0.0c</x:v>
      </x:c>
      <x:c r="C1" s="13" t="str"/>
      <x:c r="D1" s="13" t="str"/>
      <x:c r="E1" s="13" t="str"/>
      <x:c r="F1" s="13" t="str"/>
      <x:c r="G1" s="13" t="str"/>
      <x:c r="H1" s="13" t="str"/>
      <x:c r="I1" s="24"/>
      <x:c r="J1" s="24"/>
      <x:c r="K1" s="24"/>
      <x:c r="L1" s="24"/>
      <x:c r="M1" s="24"/>
      <x:c r="N1" s="24"/>
    </x:row>
    <x:row r="2">
      <x:c r="A2" s="24" t="str">
        <x:v>Core species records</x:v>
      </x:c>
      <x:c r="B2" s="24" t="n">
        <x:f>COUNTA(Species_Master!A2:A200)</x:f>
        <x:v>20</x:v>
      </x:c>
      <x:c r="C2" s="24" t="str"/>
      <x:c r="D2" s="24" t="str">
        <x:v>Reviewed draft records</x:v>
      </x:c>
      <x:c r="E2" s="24" t="n">
        <x:f>COUNTIF(Species_Master!AJ2:AJ200,"Reviewed draft")</x:f>
        <x:v>3</x:v>
      </x:c>
      <x:c r="F2" s="24" t="str"/>
      <x:c r="G2" s="24" t="str"/>
      <x:c r="H2" s="24"/>
      <x:c r="I2" s="24"/>
      <x:c r="J2" s="24"/>
      <x:c r="K2" s="24"/>
      <x:c r="L2" s="24"/>
      <x:c r="M2" s="24"/>
      <x:c r="N2" s="24"/>
    </x:row>
    <x:row r="3">
      <x:c r="A3" s="24" t="str">
        <x:v>High urban suitability</x:v>
      </x:c>
      <x:c r="B3" s="24" t="n">
        <x:f>COUNTIF(Species_Master!AG2:AG200,"&gt;=4")</x:f>
        <x:v>16</x:v>
      </x:c>
      <x:c r="C3" s="24" t="str"/>
      <x:c r="D3" s="24" t="str">
        <x:v>High restoration suitability</x:v>
      </x:c>
      <x:c r="E3" s="24" t="n">
        <x:f>COUNTIF(Species_Master!AH2:AH200,"&gt;=4")</x:f>
        <x:v>18</x:v>
      </x:c>
      <x:c r="F3" s="24" t="str"/>
      <x:c r="G3" s="24" t="str"/>
      <x:c r="H3" s="24"/>
      <x:c r="I3" s="24"/>
      <x:c r="J3" s="24"/>
      <x:c r="K3" s="24"/>
      <x:c r="L3" s="24"/>
      <x:c r="M3" s="24"/>
      <x:c r="N3" s="24"/>
    </x:row>
    <x:row r="4">
      <x:c r="A4" s="24" t="str">
        <x:v>Species with seed/kg populated</x:v>
      </x:c>
      <x:c r="B4" s="24" t="n">
        <x:f>COUNT(Species_Master!AB2:AB200)</x:f>
        <x:v>1</x:v>
      </x:c>
      <x:c r="C4" s="24" t="str"/>
      <x:c r="D4" s="24" t="str">
        <x:v>Explicit source-attribution rows</x:v>
      </x:c>
      <x:c r="E4" s="24" t="n">
        <x:f>COUNTA(Source_Attribution!A2:A300)</x:f>
        <x:v>41</x:v>
      </x:c>
      <x:c r="F4" s="24" t="str"/>
      <x:c r="G4" s="24" t="str"/>
      <x:c r="H4" s="24"/>
      <x:c r="I4" s="24"/>
      <x:c r="J4" s="24"/>
      <x:c r="K4" s="24"/>
      <x:c r="L4" s="24"/>
      <x:c r="M4" s="24"/>
      <x:c r="N4" s="24"/>
    </x:row>
    <x:row r="5">
      <x:c r="A5" s="24" t="str">
        <x:v>Excluded source check</x:v>
      </x:c>
      <x:c r="B5" s="24" t="str">
        <x:v>City of Vancouver GRI PDF excluded</x:v>
      </x:c>
      <x:c r="C5" s="24" t="str"/>
      <x:c r="D5" s="24" t="str">
        <x:v>Satinflower status</x:v>
      </x:c>
      <x:c r="E5" s="24" t="str">
        <x:v>Included as Tier 3 source</x:v>
      </x:c>
      <x:c r="F5" s="24" t="str"/>
      <x:c r="G5" s="24" t="str"/>
      <x:c r="H5" s="24"/>
      <x:c r="I5" s="24"/>
      <x:c r="J5" s="24"/>
      <x:c r="K5" s="24"/>
      <x:c r="L5" s="24"/>
      <x:c r="M5" s="24"/>
      <x:c r="N5" s="24"/>
    </x:row>
    <x:row r="6">
      <x:c r="A6" s="24" t="str"/>
      <x:c r="B6" s="24" t="str"/>
      <x:c r="C6" s="24" t="str"/>
      <x:c r="D6" s="24" t="str"/>
      <x:c r="E6" s="24" t="str"/>
      <x:c r="F6" s="24" t="str"/>
      <x:c r="G6" s="24" t="str"/>
      <x:c r="H6" s="24" t="str"/>
      <x:c r="I6" s="24"/>
      <x:c r="J6" s="24"/>
      <x:c r="K6" s="24"/>
      <x:c r="L6" s="24"/>
      <x:c r="M6" s="24"/>
      <x:c r="N6" s="24"/>
    </x:row>
    <x:row r="7">
      <x:c r="A7" s="24" t="str">
        <x:v>Next QA priorities</x:v>
      </x:c>
      <x:c r="B7" s="24" t="str">
        <x:v>1. Verify species-specific Satinflower URLs for all rows</x:v>
      </x:c>
      <x:c r="C7" s="24" t="str"/>
      <x:c r="D7" s="24" t="str">
        <x:v>2. Replace placeholder specialist-bee statements with literature-backed records</x:v>
      </x:c>
      <x:c r="E7" s="24" t="str"/>
      <x:c r="F7" s="24" t="str">
        <x:v>3. Add BC CDC conservation status crosswalk</x:v>
      </x:c>
      <x:c r="G7" s="24" t="str"/>
      <x:c r="H7" s="24"/>
      <x:c r="I7" s="24"/>
      <x:c r="J7" s="24"/>
      <x:c r="K7" s="24"/>
      <x:c r="L7" s="24"/>
      <x:c r="M7" s="24"/>
      <x:c r="N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8.380000114440918" hidden="0" customWidth="1"/>
    <x:col min="3" max="3" width="78.87999725341797" hidden="0" customWidth="1"/>
    <x:col min="4" max="4" width="5.5" hidden="0" customWidth="1"/>
    <x:col min="5" max="5" width="13.25" hidden="0" customWidth="1"/>
  </x:cols>
  <x:sheetData>
    <x:row r="1" ht="24" customHeight="1">
      <x:c r="A1" s="13" t="str">
        <x:v>Date</x:v>
      </x:c>
      <x:c r="B1" s="13" t="str">
        <x:v>Area</x:v>
      </x:c>
      <x:c r="C1" s="13" t="str">
        <x:v>Issue / Decision</x:v>
      </x:c>
      <x:c r="D1" s="13" t="str">
        <x:v>Status</x:v>
      </x:c>
      <x:c r="E1" s="13" t="str">
        <x:v>Owner</x:v>
      </x:c>
      <x:c r="F1" s="24"/>
      <x:c r="G1" s="24"/>
      <x:c r="H1" s="24"/>
      <x:c r="I1" s="24"/>
      <x:c r="J1" s="24"/>
      <x:c r="K1" s="24"/>
      <x:c r="L1" s="24"/>
      <x:c r="M1" s="24"/>
      <x:c r="N1" s="24"/>
    </x:row>
    <x:row r="2">
      <x:c r="A2" s="24" t="str">
        <x:v>2026-07-01</x:v>
      </x:c>
      <x:c r="B2" s="24" t="str">
        <x:v>Sources</x:v>
      </x:c>
      <x:c r="C2" s="24" t="str">
        <x:v>City of Vancouver GRI planting guidelines excluded from workbook sources</x:v>
      </x:c>
      <x:c r="D2" s="24" t="str">
        <x:v>Closed</x:v>
      </x:c>
      <x:c r="E2" s="24" t="str">
        <x:v>Project</x:v>
      </x:c>
      <x:c r="F2" s="24"/>
      <x:c r="G2" s="24"/>
      <x:c r="H2" s="24"/>
      <x:c r="I2" s="24"/>
      <x:c r="J2" s="24"/>
      <x:c r="K2" s="24"/>
      <x:c r="L2" s="24"/>
      <x:c r="M2" s="24"/>
      <x:c r="N2" s="24"/>
    </x:row>
    <x:row r="3">
      <x:c r="A3" s="24" t="str">
        <x:v>2026-07-01</x:v>
      </x:c>
      <x:c r="B3" s="24" t="str">
        <x:v>Sources</x:v>
      </x:c>
      <x:c r="C3" s="24" t="str">
        <x:v>Satinflower Nurseries added as Tier 3 regional expert source</x:v>
      </x:c>
      <x:c r="D3" s="24" t="str">
        <x:v>Closed</x:v>
      </x:c>
      <x:c r="E3" s="24" t="str">
        <x:v>Project</x:v>
      </x:c>
      <x:c r="F3" s="24"/>
      <x:c r="G3" s="24"/>
      <x:c r="H3" s="24"/>
      <x:c r="I3" s="24"/>
      <x:c r="J3" s="24"/>
      <x:c r="K3" s="24"/>
      <x:c r="L3" s="24"/>
      <x:c r="M3" s="24"/>
      <x:c r="N3" s="24"/>
    </x:row>
    <x:row r="4">
      <x:c r="A4" s="24" t="str">
        <x:v>2026-07-01</x:v>
      </x:c>
      <x:c r="B4" s="24" t="str">
        <x:v>Species</x:v>
      </x:c>
      <x:c r="C4" s="24" t="str">
        <x:v>Expanded Species_Master to 20 candidate records with explicit draft confidence levels</x:v>
      </x:c>
      <x:c r="D4" s="24" t="str">
        <x:v>Open</x:v>
      </x:c>
      <x:c r="E4" s="24" t="str">
        <x:v>Review</x:v>
      </x:c>
      <x:c r="F4" s="24"/>
      <x:c r="G4" s="24"/>
      <x:c r="H4" s="24"/>
      <x:c r="I4" s="24"/>
      <x:c r="J4" s="24"/>
      <x:c r="K4" s="24"/>
      <x:c r="L4" s="24"/>
      <x:c r="M4" s="24"/>
      <x:c r="N4" s="24"/>
    </x:row>
    <x:row r="5">
      <x:c r="A5" s="24" t="str">
        <x:v>2026-07-01</x:v>
      </x:c>
      <x:c r="B5" s="24" t="str">
        <x:v>Pollinators</x:v>
      </x:c>
      <x:c r="C5" s="24" t="str">
        <x:v>Specialist bee field intentionally conservative until species-level literature is verified</x:v>
      </x:c>
      <x:c r="D5" s="24" t="str">
        <x:v>Open</x:v>
      </x:c>
      <x:c r="E5" s="24" t="str">
        <x:v>Literature review</x:v>
      </x:c>
      <x:c r="F5" s="24"/>
      <x:c r="G5" s="24"/>
      <x:c r="H5" s="24"/>
      <x:c r="I5" s="24"/>
      <x:c r="J5" s="24"/>
      <x:c r="K5" s="24"/>
      <x:c r="L5" s="24"/>
      <x:c r="M5" s="24"/>
      <x:c r="N5" s="24"/>
    </x:row>
    <x:row r="6">
      <x:c r="A6" s="24" t="str">
        <x:v>2026-07-01</x:v>
      </x:c>
      <x:c r="B6" s="24" t="str">
        <x:v>Scope</x:v>
      </x:c>
      <x:c r="C6" s="24" t="str">
        <x:v>Carex obnupta flagged as exception candidate due to height exceeding strict ≤60 cm criterion on wet sites</x:v>
      </x:c>
      <x:c r="D6" s="24" t="str">
        <x:v>Open</x:v>
      </x:c>
      <x:c r="E6" s="24" t="str">
        <x:v>Review</x:v>
      </x:c>
      <x:c r="F6" s="24"/>
      <x:c r="G6" s="24"/>
      <x:c r="H6" s="24"/>
      <x:c r="I6" s="24"/>
      <x:c r="J6" s="24"/>
      <x:c r="K6" s="24"/>
      <x:c r="L6" s="24"/>
      <x:c r="M6" s="24"/>
      <x:c r="N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</x:row>
  </x:sheetData>
  <x:pageMargins left="0.7" right="0.7" top="0.75" bottom="0.75" header="0.3" footer="0.3"/>
</x:worksheet>
</file>