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efcfed38845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d9dfa8c1fa84d9f"/>
    <x:sheet xmlns:r="http://schemas.openxmlformats.org/officeDocument/2006/relationships" name="Species_Master" sheetId="2" r:id="Rf00823590d714f5c"/>
    <x:sheet xmlns:r="http://schemas.openxmlformats.org/officeDocument/2006/relationships" name="Lookups" sheetId="3" r:id="Rcb6f0359d2684488"/>
    <x:sheet xmlns:r="http://schemas.openxmlformats.org/officeDocument/2006/relationships" name="Scoring_Framework" sheetId="4" r:id="R2b6d18d882ad4db9"/>
    <x:sheet xmlns:r="http://schemas.openxmlformats.org/officeDocument/2006/relationships" name="Bloom_Matrix" sheetId="5" r:id="R1a1bd9b2c6084090"/>
    <x:sheet xmlns:r="http://schemas.openxmlformats.org/officeDocument/2006/relationships" name="Seed_Mix_Optimizer" sheetId="6" r:id="Rdafa3b26e06c4131"/>
    <x:sheet xmlns:r="http://schemas.openxmlformats.org/officeDocument/2006/relationships" name="References" sheetId="7" r:id="Rfcc8651c73ac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00"/>
    <x:numFmt numFmtId="203" formatCode="#,##0"/>
  </x:numFmts>
  <x:fonts count="4">
    <x:font>
      <x:sz val="11"/>
      <x:name val="Carlito"/>
    </x:font>
    <x:font>
      <x:b/>
      <x:sz val="16"/>
      <x:color rgb="FF1F3D35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CEBE5"/>
      </x:patternFill>
    </x:fill>
    <x:fill>
      <x:patternFill patternType="solid">
        <x:fgColor rgb="FF2F5D5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BBF7D0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81b5b124e4b7d" /><Relationship Type="http://schemas.openxmlformats.org/officeDocument/2006/relationships/theme" Target="/xl/theme/theme1.xml" Id="R0e5d537b68524937" /><Relationship Type="http://schemas.openxmlformats.org/officeDocument/2006/relationships/sharedStrings" Target="/xl/sharedStrings.xml" Id="Rdeab0b3a163c4d8d" /><Relationship Type="http://schemas.openxmlformats.org/officeDocument/2006/relationships/worksheet" Target="/xl/worksheets/sheet1.xml" Id="Rcd9dfa8c1fa84d9f" /><Relationship Type="http://schemas.openxmlformats.org/officeDocument/2006/relationships/worksheet" Target="/xl/worksheets/sheet2.xml" Id="Rf00823590d714f5c" /><Relationship Type="http://schemas.openxmlformats.org/officeDocument/2006/relationships/worksheet" Target="/xl/worksheets/sheet3.xml" Id="Rcb6f0359d2684488" /><Relationship Type="http://schemas.openxmlformats.org/officeDocument/2006/relationships/worksheet" Target="/xl/worksheets/sheet4.xml" Id="R2b6d18d882ad4db9" /><Relationship Type="http://schemas.openxmlformats.org/officeDocument/2006/relationships/worksheet" Target="/xl/worksheets/sheet5.xml" Id="R1a1bd9b2c6084090" /><Relationship Type="http://schemas.openxmlformats.org/officeDocument/2006/relationships/worksheet" Target="/xl/worksheets/sheet6.xml" Id="Rdafa3b26e06c4131" /><Relationship Type="http://schemas.openxmlformats.org/officeDocument/2006/relationships/worksheet" Target="/xl/worksheets/sheet7.xml" Id="Rfcc8651c73ac48cd" /></Relationships>
</file>

<file path=xl/tables/table1.xml><?xml version="1.0" encoding="utf-8"?>
<x:table xmlns:x="http://schemas.openxmlformats.org/spreadsheetml/2006/main" id="3" name="SpeciesMasterTable" displayName="SpeciesMasterTable" ref="A1:AA13" headerRowCount="1">
  <x:tableColumns count="27">
    <x:tableColumn id="1" name="Species_ID"/>
    <x:tableColumn id="2" name="Botanical_Name"/>
    <x:tableColumn id="3" name="Common_Name"/>
    <x:tableColumn id="4" name="Family"/>
    <x:tableColumn id="5" name="Life_Cycle"/>
    <x:tableColumn id="6" name="Growth_Form"/>
    <x:tableColumn id="7" name="Height_Min_cm"/>
    <x:tableColumn id="8" name="Height_Max_cm"/>
    <x:tableColumn id="9" name="Light"/>
    <x:tableColumn id="10" name="Moisture"/>
    <x:tableColumn id="11" name="Bloom_Start"/>
    <x:tableColumn id="12" name="Bloom_End"/>
    <x:tableColumn id="13" name="Bloom_Colour"/>
    <x:tableColumn id="14" name="Pollen_Value"/>
    <x:tableColumn id="15" name="Nectar_Value"/>
    <x:tableColumn id="16" name="Bumblebee_Value"/>
    <x:tableColumn id="17" name="Specialist_Bee_Value"/>
    <x:tableColumn id="18" name="Urban_Suitability"/>
    <x:tableColumn id="19" name="Restoration_Suitability"/>
    <x:tableColumn id="20" name="Composite_Eco_Score"/>
    <x:tableColumn id="21" name="Seed_Data_Status"/>
    <x:tableColumn id="22" name="Seeds_per_kg"/>
    <x:tableColumn id="23" name="Germination_Dormancy"/>
    <x:tableColumn id="24" name="Cultivation_Establishment_Notes"/>
    <x:tableColumn id="25" name="Native_Range_Notes"/>
    <x:tableColumn id="26" name="Primary_Refs"/>
    <x:tableColumn id="27" name="Review_Status"/>
  </x:tableColumns>
  <x:tableStyleInfo name="TableStyleMedium2" showRowStripes="1"/>
</x:table>
</file>

<file path=xl/tables/table2.xml><?xml version="1.0" encoding="utf-8"?>
<x:table xmlns:x="http://schemas.openxmlformats.org/spreadsheetml/2006/main" id="1" name="ScoringFramework" displayName="ScoringFramework" ref="A1:D8" headerRowCount="1">
  <x:tableColumns count="4">
    <x:tableColumn id="1" name="Score Field"/>
    <x:tableColumn id="2" name="Scale"/>
    <x:tableColumn id="3" name="Interpretation"/>
    <x:tableColumn id="4" name="Notes"/>
  </x:tableColumns>
  <x:tableStyleInfo name="TableStyleMedium2" showRowStripes="1"/>
</x:table>
</file>

<file path=xl/tables/table3.xml><?xml version="1.0" encoding="utf-8"?>
<x:table xmlns:x="http://schemas.openxmlformats.org/spreadsheetml/2006/main" id="4" name="BloomMatrixTable" displayName="BloomMatrixTable" ref="A1:P13" headerRowCount="1">
  <x:tableColumns count="16">
    <x:tableColumn id="1" name="Species_ID"/>
    <x:tableColumn id="2" name="Botanical_Name"/>
    <x:tableColumn id="3" name="Common_Name"/>
    <x:tableColumn id="4" name="Jan"/>
    <x:tableColumn id="5" name="Feb"/>
    <x:tableColumn id="6" name="Mar"/>
    <x:tableColumn id="7" name="Apr"/>
    <x:tableColumn id="8" name="May"/>
    <x:tableColumn id="9" name="Jun"/>
    <x:tableColumn id="10" name="Jul"/>
    <x:tableColumn id="11" name="Aug"/>
    <x:tableColumn id="12" name="Sep"/>
    <x:tableColumn id="13" name="Oct"/>
    <x:tableColumn id="14" name="Nov"/>
    <x:tableColumn id="15" name="Dec"/>
    <x:tableColumn id="16" name="Bloom_Month_Count"/>
  </x:tableColumns>
  <x:tableStyleInfo name="TableStyleMedium2" showRowStripes="1"/>
</x:table>
</file>

<file path=xl/tables/table4.xml><?xml version="1.0" encoding="utf-8"?>
<x:table xmlns:x="http://schemas.openxmlformats.org/spreadsheetml/2006/main" id="5" name="SeedMixDraftTable" displayName="SeedMixDraftTable" ref="A6:H16" headerRowCount="1">
  <x:tableColumns count="8">
    <x:tableColumn id="1" name="Species_ID"/>
    <x:tableColumn id="2" name="Botanical_Name"/>
    <x:tableColumn id="3" name="Common_Name"/>
    <x:tableColumn id="4" name="Target_%"/>
    <x:tableColumn id="5" name="Raw_kg_required"/>
    <x:tableColumn id="6" name="Seeds_per_kg"/>
    <x:tableColumn id="7" name="Estimated_Seeds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2" name="ReferencesTable" displayName="ReferencesTable" ref="A1:E7" headerRowCount="1">
  <x:tableColumns count="5">
    <x:tableColumn id="1" name="Ref_ID"/>
    <x:tableColumn id="2" name="Source"/>
    <x:tableColumn id="3" name="Type"/>
    <x:tableColumn id="4" name="URL"/>
    <x:tableColumn id="5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cdcd1ab90942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7cdd8956d2e44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e37c1281d0647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979325d1db64a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2c7f633ad654a2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2" t="str">
        <x:v>Metro Vancouver Native Plant + Native Bee Restoration Workbook</x:v>
      </x:c>
      <x:c r="B1" s="13" t="str"/>
      <x:c r="C1" s="13" t="str"/>
      <x:c r="D1" s="13" t="str"/>
    </x:row>
    <x:row r="2">
      <x:c r="A2" s="6" t="str">
        <x:v>Version</x:v>
      </x:c>
      <x:c r="B2" t="str">
        <x:v>v1.0.0a Foundation Draft</x:v>
      </x:c>
      <x:c r="C2" t="str"/>
      <x:c r="D2" t="str"/>
    </x:row>
    <x:row r="3">
      <x:c r="A3" s="6" t="str">
        <x:v>Prepared</x:v>
      </x:c>
      <x:c r="B3" s="10" t="n">
        <x:v>46204</x:v>
      </x:c>
      <x:c r="C3" t="str"/>
      <x:c r="D3" t="str"/>
    </x:row>
    <x:row r="4">
      <x:c r="A4" s="6" t="str">
        <x:v>Scope</x:v>
      </x:c>
      <x:c r="B4" t="str">
        <x:v>Native / regionally appropriate low-growing species for urban restoration contexts in Metro Vancouver / Lower Mainland. Initial v1 target is mature height ≤60 cm where feasible.</x:v>
      </x:c>
      <x:c r="C4" t="str"/>
      <x:c r="D4" t="str"/>
    </x:row>
    <x:row r="5">
      <x:c r="A5" s="6" t="str">
        <x:v>Status</x:v>
      </x:c>
      <x:c r="B5" t="str">
        <x:v>Foundation workbook with schema, lookup/scoring framework, starter species set, bloom matrix, seed mix optimizer scaffold, and source register.</x:v>
      </x:c>
      <x:c r="C5" t="str"/>
      <x:c r="D5" t="str"/>
    </x:row>
    <x:row r="6">
      <x:c r="A6" s="6" t="str">
        <x:v>Important caveat</x:v>
      </x:c>
      <x:c r="B6" t="str">
        <x:v>Species rows are a curated starter set and should be reviewed before procurement or restoration prescriptions. Some taxonomy, local provenance, and seed-count data require supplier or herbarium confirmation.</x:v>
      </x:c>
      <x:c r="C6" t="str"/>
      <x:c r="D6" t="str"/>
    </x:row>
    <x:row r="7">
      <x:c r="A7" s="6" t="str">
        <x:v>Next build step</x:v>
      </x:c>
      <x:c r="B7" t="str">
        <x:v>Expand Species_Master to 50–60 species with fully referenced values, then connect final PLS / seed-cost formulas.</x:v>
      </x:c>
      <x:c r="C7" t="str"/>
      <x:c r="D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8" hidden="0" customWidth="1"/>
    <x:col min="5" max="5" width="14" hidden="0" customWidth="1"/>
    <x:col min="6" max="6" width="16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6" hidden="0" customWidth="1"/>
    <x:col min="14" max="14" width="12" hidden="0" customWidth="1"/>
    <x:col min="15" max="15" width="12" hidden="0" customWidth="1"/>
    <x:col min="16" max="16" width="14" hidden="0" customWidth="1"/>
    <x:col min="17" max="17" width="16" hidden="0" customWidth="1"/>
    <x:col min="18" max="18" width="14" hidden="0" customWidth="1"/>
    <x:col min="19" max="19" width="18" hidden="0" customWidth="1"/>
    <x:col min="20" max="20" width="16" hidden="0" customWidth="1"/>
    <x:col min="21" max="21" width="22" hidden="0" customWidth="1"/>
    <x:col min="22" max="22" width="14" hidden="0" customWidth="1"/>
    <x:col min="23" max="23" width="32" hidden="0" customWidth="1"/>
    <x:col min="24" max="24" width="52" hidden="0" customWidth="1"/>
    <x:col min="25" max="25" width="42" hidden="0" customWidth="1"/>
    <x:col min="26" max="26" width="32" hidden="0" customWidth="1"/>
    <x:col min="27" max="27" width="14" hidden="0" customWidth="1"/>
  </x:cols>
  <x:sheetData>
    <x:row r="1">
      <x:c r="A1" s="20" t="str">
        <x:v>Species_ID</x:v>
      </x:c>
      <x:c r="B1" s="20" t="str">
        <x:v>Botanical_Name</x:v>
      </x:c>
      <x:c r="C1" s="20" t="str">
        <x:v>Common_Name</x:v>
      </x:c>
      <x:c r="D1" s="20" t="str">
        <x:v>Family</x:v>
      </x:c>
      <x:c r="E1" s="20" t="str">
        <x:v>Life_Cycle</x:v>
      </x:c>
      <x:c r="F1" s="20" t="str">
        <x:v>Growth_Form</x:v>
      </x:c>
      <x:c r="G1" s="20" t="str">
        <x:v>Height_Min_cm</x:v>
      </x:c>
      <x:c r="H1" s="20" t="str">
        <x:v>Height_Max_cm</x:v>
      </x:c>
      <x:c r="I1" s="20" t="str">
        <x:v>Light</x:v>
      </x:c>
      <x:c r="J1" s="20" t="str">
        <x:v>Moisture</x:v>
      </x:c>
      <x:c r="K1" s="20" t="str">
        <x:v>Bloom_Start</x:v>
      </x:c>
      <x:c r="L1" s="20" t="str">
        <x:v>Bloom_End</x:v>
      </x:c>
      <x:c r="M1" s="20" t="str">
        <x:v>Bloom_Colour</x:v>
      </x:c>
      <x:c r="N1" s="20" t="str">
        <x:v>Pollen_Value</x:v>
      </x:c>
      <x:c r="O1" s="20" t="str">
        <x:v>Nectar_Value</x:v>
      </x:c>
      <x:c r="P1" s="20" t="str">
        <x:v>Bumblebee_Value</x:v>
      </x:c>
      <x:c r="Q1" s="20" t="str">
        <x:v>Specialist_Bee_Value</x:v>
      </x:c>
      <x:c r="R1" s="20" t="str">
        <x:v>Urban_Suitability</x:v>
      </x:c>
      <x:c r="S1" s="20" t="str">
        <x:v>Restoration_Suitability</x:v>
      </x:c>
      <x:c r="T1" s="20" t="str">
        <x:v>Composite_Eco_Score</x:v>
      </x:c>
      <x:c r="U1" s="20" t="str">
        <x:v>Seed_Data_Status</x:v>
      </x:c>
      <x:c r="V1" s="20" t="str">
        <x:v>Seeds_per_kg</x:v>
      </x:c>
      <x:c r="W1" s="20" t="str">
        <x:v>Germination_Dormancy</x:v>
      </x:c>
      <x:c r="X1" s="20" t="str">
        <x:v>Cultivation_Establishment_Notes</x:v>
      </x:c>
      <x:c r="Y1" s="20" t="str">
        <x:v>Native_Range_Notes</x:v>
      </x:c>
      <x:c r="Z1" s="20" t="str">
        <x:v>Primary_Refs</x:v>
      </x:c>
      <x:c r="AA1" s="20" t="str">
        <x:v>Review_Status</x:v>
      </x:c>
    </x:row>
    <x:row r="2">
      <x:c r="A2" t="str">
        <x:v>ACH_MIL</x:v>
      </x:c>
      <x:c r="B2" t="str">
        <x:v>Achillea millefolium</x:v>
      </x:c>
      <x:c r="C2" t="str">
        <x:v>Yarrow</x:v>
      </x:c>
      <x:c r="D2" t="str">
        <x:v>Asteraceae</x:v>
      </x:c>
      <x:c r="E2" t="str">
        <x:v>Perennial</x:v>
      </x:c>
      <x:c r="F2" t="str">
        <x:v>Forb</x:v>
      </x:c>
      <x:c r="G2" t="n">
        <x:v>10</x:v>
      </x:c>
      <x:c r="H2" t="n">
        <x:v>60</x:v>
      </x:c>
      <x:c r="I2" t="str">
        <x:v>Full sun</x:v>
      </x:c>
      <x:c r="J2" t="str">
        <x:v>Dry-mesic</x:v>
      </x:c>
      <x:c r="K2" t="str">
        <x:v>May</x:v>
      </x:c>
      <x:c r="L2" t="str">
        <x:v>Sep</x:v>
      </x:c>
      <x:c r="M2" t="str">
        <x:v>White</x:v>
      </x:c>
      <x:c r="N2" t="n">
        <x:v>4</x:v>
      </x:c>
      <x:c r="O2" t="n">
        <x:v>3</x:v>
      </x:c>
      <x:c r="P2" t="n">
        <x:v>3</x:v>
      </x:c>
      <x:c r="Q2" t="n">
        <x:v>2</x:v>
      </x:c>
      <x:c r="R2" t="n">
        <x:v>5</x:v>
      </x:c>
      <x:c r="S2" t="n">
        <x:v>5</x:v>
      </x:c>
      <x:c r="T2" t="n">
        <x:f>ROUND(AVERAGE(N2:S2),1)</x:f>
        <x:v>3.7</x:v>
      </x:c>
      <x:c r="U2" t="str">
        <x:v>Needs supplier confirmation</x:v>
      </x:c>
      <x:c r="V2"/>
      <x:c r="W2" t="str">
        <x:v>Often germinates readily; confirm local provenance seed lot.</x:v>
      </x:c>
      <x:c r="X2" t="str">
        <x:v>Tough rhizomatous forb; useful in meadow/lawn conversion, boulevard edges, and low-input sunny plantings.</x:v>
      </x:c>
      <x:c r="Y2" t="str">
        <x:v>Widespread in BC; confirm local native provenance because horticultural/ecotypic material varies.</x:v>
      </x:c>
      <x:c r="Z2" t="str">
        <x:v>EFLORA_BC; FVC_NATIVE_GUIDE; POLLINATOR_LM</x:v>
      </x:c>
      <x:c r="AA2" t="str">
        <x:v>Draft</x:v>
      </x:c>
    </x:row>
    <x:row r="3">
      <x:c r="A3" t="str">
        <x:v>CAM_ROT</x:v>
      </x:c>
      <x:c r="B3" t="str">
        <x:v>Camassia quamash</x:v>
      </x:c>
      <x:c r="C3" t="str">
        <x:v>Common camas</x:v>
      </x:c>
      <x:c r="D3" t="str">
        <x:v>Asparagaceae</x:v>
      </x:c>
      <x:c r="E3" t="str">
        <x:v>Perennial</x:v>
      </x:c>
      <x:c r="F3" t="str">
        <x:v>Forb</x:v>
      </x:c>
      <x:c r="G3" t="n">
        <x:v>20</x:v>
      </x:c>
      <x:c r="H3" t="n">
        <x:v>60</x:v>
      </x:c>
      <x:c r="I3" t="str">
        <x:v>Full sun</x:v>
      </x:c>
      <x:c r="J3" t="str">
        <x:v>Mesic</x:v>
      </x:c>
      <x:c r="K3" t="str">
        <x:v>Apr</x:v>
      </x:c>
      <x:c r="L3" t="str">
        <x:v>Jun</x:v>
      </x:c>
      <x:c r="M3" t="str">
        <x:v>Blue-purple</x:v>
      </x:c>
      <x:c r="N3" t="n">
        <x:v>4</x:v>
      </x:c>
      <x:c r="O3" t="n">
        <x:v>3</x:v>
      </x:c>
      <x:c r="P3" t="n">
        <x:v>3</x:v>
      </x:c>
      <x:c r="Q3" t="n">
        <x:v>3</x:v>
      </x:c>
      <x:c r="R3" t="n">
        <x:v>3</x:v>
      </x:c>
      <x:c r="S3" t="n">
        <x:v>4</x:v>
      </x:c>
      <x:c r="T3" t="n">
        <x:f>ROUND(AVERAGE(N3:S3),1)</x:f>
        <x:v>3.3</x:v>
      </x:c>
      <x:c r="U3" t="str">
        <x:v>Needs supplier confirmation</x:v>
      </x:c>
      <x:c r="V3"/>
      <x:c r="W3" t="str">
        <x:v>Bulb/seed; seed may require cold moist stratification and multi-year establishment.</x:v>
      </x:c>
      <x:c r="X3" t="str">
        <x:v>Best in seasonally moist meadow or Garry oak analog plantings; avoid summer irrigation after dormancy.</x:v>
      </x:c>
      <x:c r="Y3" t="str">
        <x:v>Native to coastal meadows and Garry oak-associated habitats; local occurrence/provenance should be checked.</x:v>
      </x:c>
      <x:c r="Z3" t="str">
        <x:v>EFLORA_BC; FVC_NATIVE_GUIDE; POLLINATOR_LM</x:v>
      </x:c>
      <x:c r="AA3" t="str">
        <x:v>Draft</x:v>
      </x:c>
    </x:row>
    <x:row r="4">
      <x:c r="A4" t="str">
        <x:v>FRA_VES</x:v>
      </x:c>
      <x:c r="B4" t="str">
        <x:v>Fragaria vesca</x:v>
      </x:c>
      <x:c r="C4" t="str">
        <x:v>Woodland strawberry</x:v>
      </x:c>
      <x:c r="D4" t="str">
        <x:v>Rosaceae</x:v>
      </x:c>
      <x:c r="E4" t="str">
        <x:v>Perennial</x:v>
      </x:c>
      <x:c r="F4" t="str">
        <x:v>Groundcover</x:v>
      </x:c>
      <x:c r="G4" t="n">
        <x:v>5</x:v>
      </x:c>
      <x:c r="H4" t="n">
        <x:v>20</x:v>
      </x:c>
      <x:c r="I4" t="str">
        <x:v>Part sun</x:v>
      </x:c>
      <x:c r="J4" t="str">
        <x:v>Dry-mesic</x:v>
      </x:c>
      <x:c r="K4" t="str">
        <x:v>Apr</x:v>
      </x:c>
      <x:c r="L4" t="str">
        <x:v>Jun</x:v>
      </x:c>
      <x:c r="M4" t="str">
        <x:v>White</x:v>
      </x:c>
      <x:c r="N4" t="n">
        <x:v>3</x:v>
      </x:c>
      <x:c r="O4" t="n">
        <x:v>2</x:v>
      </x:c>
      <x:c r="P4" t="n">
        <x:v>2</x:v>
      </x:c>
      <x:c r="Q4" t="n">
        <x:v>1</x:v>
      </x:c>
      <x:c r="R4" t="n">
        <x:v>5</x:v>
      </x:c>
      <x:c r="S4" t="n">
        <x:v>4</x:v>
      </x:c>
      <x:c r="T4" t="n">
        <x:f>ROUND(AVERAGE(N4:S4),1)</x:f>
        <x:v>2.8</x:v>
      </x:c>
      <x:c r="U4" t="str">
        <x:v>Needs supplier confirmation</x:v>
      </x:c>
      <x:c r="V4"/>
      <x:c r="W4" t="str">
        <x:v>Seed or divisions; spreads by runners when established.</x:v>
      </x:c>
      <x:c r="X4" t="str">
        <x:v>Excellent low groundcover for edges, open woodland, and low-maintenance urban beds.</x:v>
      </x:c>
      <x:c r="Y4" t="str">
        <x:v>Native/widespread; distinguish from coastal strawberry where site is coastal/dune-like.</x:v>
      </x:c>
      <x:c r="Z4" t="str">
        <x:v>EFLORA_BC; FVC_NATIVE_GUIDE</x:v>
      </x:c>
      <x:c r="AA4" t="str">
        <x:v>Draft</x:v>
      </x:c>
    </x:row>
    <x:row r="5">
      <x:c r="A5" t="str">
        <x:v>FRA_CHI</x:v>
      </x:c>
      <x:c r="B5" t="str">
        <x:v>Fragaria chiloensis</x:v>
      </x:c>
      <x:c r="C5" t="str">
        <x:v>Coastal strawberry</x:v>
      </x:c>
      <x:c r="D5" t="str">
        <x:v>Rosaceae</x:v>
      </x:c>
      <x:c r="E5" t="str">
        <x:v>Perennial</x:v>
      </x:c>
      <x:c r="F5" t="str">
        <x:v>Groundcover</x:v>
      </x:c>
      <x:c r="G5" t="n">
        <x:v>5</x:v>
      </x:c>
      <x:c r="H5" t="n">
        <x:v>15</x:v>
      </x:c>
      <x:c r="I5" t="str">
        <x:v>Full sun</x:v>
      </x:c>
      <x:c r="J5" t="str">
        <x:v>Dry-mesic</x:v>
      </x:c>
      <x:c r="K5" t="str">
        <x:v>Apr</x:v>
      </x:c>
      <x:c r="L5" t="str">
        <x:v>Jun</x:v>
      </x:c>
      <x:c r="M5" t="str">
        <x:v>White</x:v>
      </x:c>
      <x:c r="N5" t="n">
        <x:v>3</x:v>
      </x:c>
      <x:c r="O5" t="n">
        <x:v>2</x:v>
      </x:c>
      <x:c r="P5" t="n">
        <x:v>2</x:v>
      </x:c>
      <x:c r="Q5" t="n">
        <x:v>1</x:v>
      </x:c>
      <x:c r="R5" t="n">
        <x:v>5</x:v>
      </x:c>
      <x:c r="S5" t="n">
        <x:v>4</x:v>
      </x:c>
      <x:c r="T5" t="n">
        <x:f>ROUND(AVERAGE(N5:S5),1)</x:f>
        <x:v>2.8</x:v>
      </x:c>
      <x:c r="U5" t="str">
        <x:v>Needs supplier confirmation</x:v>
      </x:c>
      <x:c r="V5"/>
      <x:c r="W5" t="str">
        <x:v>Often established by plugs/divisions; spreading stolons.</x:v>
      </x:c>
      <x:c r="X5" t="str">
        <x:v>Strong low groundcover for sunny coastal-adjacent, sandy, droughty urban sites.</x:v>
      </x:c>
      <x:c r="Y5" t="str">
        <x:v>Native coastal species; most appropriate near maritime/sandy contexts and local provenance projects.</x:v>
      </x:c>
      <x:c r="Z5" t="str">
        <x:v>EFLORA_BC; FVC_NATIVE_GUIDE</x:v>
      </x:c>
      <x:c r="AA5" t="str">
        <x:v>Draft</x:v>
      </x:c>
    </x:row>
    <x:row r="6">
      <x:c r="A6" t="str">
        <x:v>SIS_IDA</x:v>
      </x:c>
      <x:c r="B6" t="str">
        <x:v>Sisyrinchium idahoense</x:v>
      </x:c>
      <x:c r="C6" t="str">
        <x:v>Idaho blue-eyed grass</x:v>
      </x:c>
      <x:c r="D6" t="str">
        <x:v>Iridaceae</x:v>
      </x:c>
      <x:c r="E6" t="str">
        <x:v>Perennial</x:v>
      </x:c>
      <x:c r="F6" t="str">
        <x:v>Forb</x:v>
      </x:c>
      <x:c r="G6" t="n">
        <x:v>10</x:v>
      </x:c>
      <x:c r="H6" t="n">
        <x:v>40</x:v>
      </x:c>
      <x:c r="I6" t="str">
        <x:v>Full sun</x:v>
      </x:c>
      <x:c r="J6" t="str">
        <x:v>Mesic</x:v>
      </x:c>
      <x:c r="K6" t="str">
        <x:v>May</x:v>
      </x:c>
      <x:c r="L6" t="str">
        <x:v>Jul</x:v>
      </x:c>
      <x:c r="M6" t="str">
        <x:v>Blue-purple</x:v>
      </x:c>
      <x:c r="N6" t="n">
        <x:v>3</x:v>
      </x:c>
      <x:c r="O6" t="n">
        <x:v>2</x:v>
      </x:c>
      <x:c r="P6" t="n">
        <x:v>2</x:v>
      </x:c>
      <x:c r="Q6" t="n">
        <x:v>1</x:v>
      </x:c>
      <x:c r="R6" t="n">
        <x:v>4</x:v>
      </x:c>
      <x:c r="S6" t="n">
        <x:v>4</x:v>
      </x:c>
      <x:c r="T6" t="n">
        <x:f>ROUND(AVERAGE(N6:S6),1)</x:f>
        <x:v>2.7</x:v>
      </x:c>
      <x:c r="U6" t="str">
        <x:v>Needs supplier confirmation</x:v>
      </x:c>
      <x:c r="V6"/>
      <x:c r="W6" t="str">
        <x:v>Seed/plug; may prefer open mineral soil and reduced competition.</x:v>
      </x:c>
      <x:c r="X6" t="str">
        <x:v>Good small meadow forb for sunny, seasonally moist to mesic urban plantings.</x:v>
      </x:c>
      <x:c r="Y6" t="str">
        <x:v>Occurs in BC; confirm Lower Mainland suitability and local ecotype availability.</x:v>
      </x:c>
      <x:c r="Z6" t="str">
        <x:v>EFLORA_BC; POLLINATOR_LM</x:v>
      </x:c>
      <x:c r="AA6" t="str">
        <x:v>Draft</x:v>
      </x:c>
    </x:row>
    <x:row r="7">
      <x:c r="A7" t="str">
        <x:v>COL_PAR</x:v>
      </x:c>
      <x:c r="B7" t="str">
        <x:v>Collinsia parviflora</x:v>
      </x:c>
      <x:c r="C7" t="str">
        <x:v>Small-flowered blue-eyed Mary</x:v>
      </x:c>
      <x:c r="D7" t="str">
        <x:v>Plantaginaceae</x:v>
      </x:c>
      <x:c r="E7" t="str">
        <x:v>Annual</x:v>
      </x:c>
      <x:c r="F7" t="str">
        <x:v>Forb</x:v>
      </x:c>
      <x:c r="G7" t="n">
        <x:v>5</x:v>
      </x:c>
      <x:c r="H7" t="n">
        <x:v>30</x:v>
      </x:c>
      <x:c r="I7" t="str">
        <x:v>Part sun</x:v>
      </x:c>
      <x:c r="J7" t="str">
        <x:v>Mesic</x:v>
      </x:c>
      <x:c r="K7" t="str">
        <x:v>Mar</x:v>
      </x:c>
      <x:c r="L7" t="str">
        <x:v>Jun</x:v>
      </x:c>
      <x:c r="M7" t="str">
        <x:v>Blue-white</x:v>
      </x:c>
      <x:c r="N7" t="n">
        <x:v>3</x:v>
      </x:c>
      <x:c r="O7" t="n">
        <x:v>2</x:v>
      </x:c>
      <x:c r="P7" t="n">
        <x:v>1</x:v>
      </x:c>
      <x:c r="Q7" t="n">
        <x:v>1</x:v>
      </x:c>
      <x:c r="R7" t="n">
        <x:v>3</x:v>
      </x:c>
      <x:c r="S7" t="n">
        <x:v>3</x:v>
      </x:c>
      <x:c r="T7" t="n">
        <x:f>ROUND(AVERAGE(N7:S7),1)</x:f>
        <x:v>2.2</x:v>
      </x:c>
      <x:c r="U7" t="str">
        <x:v>Needs supplier confirmation</x:v>
      </x:c>
      <x:c r="V7"/>
      <x:c r="W7" t="str">
        <x:v>Annual from seed; relies on open patches and reseeding conditions.</x:v>
      </x:c>
      <x:c r="X7" t="str">
        <x:v>Early-season annual for open microsites; less suited to heavily mulched beds.</x:v>
      </x:c>
      <x:c r="Y7" t="str">
        <x:v>Native annual in BC; confirm seed availability and site disturbance regime.</x:v>
      </x:c>
      <x:c r="Z7" t="str">
        <x:v>EFLORA_BC</x:v>
      </x:c>
      <x:c r="AA7" t="str">
        <x:v>Draft</x:v>
      </x:c>
    </x:row>
    <x:row r="8">
      <x:c r="A8" t="str">
        <x:v>PTE_AQU</x:v>
      </x:c>
      <x:c r="B8" t="str">
        <x:v>Pteridium aquilinum</x:v>
      </x:c>
      <x:c r="C8" t="str">
        <x:v>Bracken fern</x:v>
      </x:c>
      <x:c r="D8" t="str">
        <x:v>Dennstaedtiaceae</x:v>
      </x:c>
      <x:c r="E8" t="str">
        <x:v>Perennial</x:v>
      </x:c>
      <x:c r="F8" t="str">
        <x:v>Fern</x:v>
      </x:c>
      <x:c r="G8" t="n">
        <x:v>30</x:v>
      </x:c>
      <x:c r="H8" t="n">
        <x:v>60</x:v>
      </x:c>
      <x:c r="I8" t="str">
        <x:v>Part shade</x:v>
      </x:c>
      <x:c r="J8" t="str">
        <x:v>Dry-mesic</x:v>
      </x:c>
      <x:c r="K8" t="str">
        <x:v>N/A</x:v>
      </x:c>
      <x:c r="L8" t="str">
        <x:v>N/A</x:v>
      </x:c>
      <x:c r="M8" t="str">
        <x:v>N/A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2</x:v>
      </x:c>
      <x:c r="S8" t="n">
        <x:v>2</x:v>
      </x:c>
      <x:c r="T8" t="n">
        <x:f>ROUND(AVERAGE(N8:S8),1)</x:f>
        <x:v>0.7</x:v>
      </x:c>
      <x:c r="U8" t="str">
        <x:v>Not seed mix species</x:v>
      </x:c>
      <x:c r="V8"/>
      <x:c r="W8" t="str">
        <x:v>Rhizomatous fern; not a pollinator species; use cautiously.</x:v>
      </x:c>
      <x:c r="X8" t="str">
        <x:v>Can be aggressive; not a flagship urban pollinator species but relevant to native understory matrices.</x:v>
      </x:c>
      <x:c r="Y8" t="str">
        <x:v>Native/widespread; use only where rhizome spread is acceptable.</x:v>
      </x:c>
      <x:c r="Z8" t="str">
        <x:v>EFLORA_BC</x:v>
      </x:c>
      <x:c r="AA8" t="str">
        <x:v>Draft</x:v>
      </x:c>
    </x:row>
    <x:row r="9">
      <x:c r="A9" t="str">
        <x:v>LUP_BIC</x:v>
      </x:c>
      <x:c r="B9" t="str">
        <x:v>Lupinus bicolor</x:v>
      </x:c>
      <x:c r="C9" t="str">
        <x:v>Miniature lupine</x:v>
      </x:c>
      <x:c r="D9" t="str">
        <x:v>Fabaceae</x:v>
      </x:c>
      <x:c r="E9" t="str">
        <x:v>Annual</x:v>
      </x:c>
      <x:c r="F9" t="str">
        <x:v>Forb</x:v>
      </x:c>
      <x:c r="G9" t="n">
        <x:v>10</x:v>
      </x:c>
      <x:c r="H9" t="n">
        <x:v>40</x:v>
      </x:c>
      <x:c r="I9" t="str">
        <x:v>Full sun</x:v>
      </x:c>
      <x:c r="J9" t="str">
        <x:v>Dry-mesic</x:v>
      </x:c>
      <x:c r="K9" t="str">
        <x:v>Apr</x:v>
      </x:c>
      <x:c r="L9" t="str">
        <x:v>Jun</x:v>
      </x:c>
      <x:c r="M9" t="str">
        <x:v>Blue-purple</x:v>
      </x:c>
      <x:c r="N9" t="n">
        <x:v>4</x:v>
      </x:c>
      <x:c r="O9" t="n">
        <x:v>2</x:v>
      </x:c>
      <x:c r="P9" t="n">
        <x:v>3</x:v>
      </x:c>
      <x:c r="Q9" t="n">
        <x:v>3</x:v>
      </x:c>
      <x:c r="R9" t="n">
        <x:v>3</x:v>
      </x:c>
      <x:c r="S9" t="n">
        <x:v>4</x:v>
      </x:c>
      <x:c r="T9" t="n">
        <x:f>ROUND(AVERAGE(N9:S9),1)</x:f>
        <x:v>3.2</x:v>
      </x:c>
      <x:c r="U9" t="str">
        <x:v>Needs supplier confirmation</x:v>
      </x:c>
      <x:c r="V9"/>
      <x:c r="W9" t="str">
        <x:v>Legume seed may need scarification; annual reseeding needs open soil.</x:v>
      </x:c>
      <x:c r="X9" t="str">
        <x:v>Useful for sunny meadow analogs if seed available and local provenance is appropriate.</x:v>
      </x:c>
      <x:c r="Y9" t="str">
        <x:v>Native in southwestern BC/Garry oak contexts; verify Lower Mainland availability.</x:v>
      </x:c>
      <x:c r="Z9" t="str">
        <x:v>EFLORA_BC; POLLINATOR_LM</x:v>
      </x:c>
      <x:c r="AA9" t="str">
        <x:v>Draft</x:v>
      </x:c>
    </x:row>
    <x:row r="10">
      <x:c r="A10" t="str">
        <x:v>PRA_VUL</x:v>
      </x:c>
      <x:c r="B10" t="str">
        <x:v>Prunella vulgaris ssp. lanceolata</x:v>
      </x:c>
      <x:c r="C10" t="str">
        <x:v>Self-heal</x:v>
      </x:c>
      <x:c r="D10" t="str">
        <x:v>Lamiaceae</x:v>
      </x:c>
      <x:c r="E10" t="str">
        <x:v>Perennial</x:v>
      </x:c>
      <x:c r="F10" t="str">
        <x:v>Forb</x:v>
      </x:c>
      <x:c r="G10" t="n">
        <x:v>5</x:v>
      </x:c>
      <x:c r="H10" t="n">
        <x:v>30</x:v>
      </x:c>
      <x:c r="I10" t="str">
        <x:v>Full sun</x:v>
      </x:c>
      <x:c r="J10" t="str">
        <x:v>Mesic</x:v>
      </x:c>
      <x:c r="K10" t="str">
        <x:v>Jun</x:v>
      </x:c>
      <x:c r="L10" t="str">
        <x:v>Sep</x:v>
      </x:c>
      <x:c r="M10" t="str">
        <x:v>Purple</x:v>
      </x:c>
      <x:c r="N10" t="n">
        <x:v>3</x:v>
      </x:c>
      <x:c r="O10" t="n">
        <x:v>3</x:v>
      </x:c>
      <x:c r="P10" t="n">
        <x:v>4</x:v>
      </x:c>
      <x:c r="Q10" t="n">
        <x:v>1</x:v>
      </x:c>
      <x:c r="R10" t="n">
        <x:v>5</x:v>
      </x:c>
      <x:c r="S10" t="n">
        <x:v>4</x:v>
      </x:c>
      <x:c r="T10" t="n">
        <x:f>ROUND(AVERAGE(N10:S10),1)</x:f>
        <x:v>3.3</x:v>
      </x:c>
      <x:c r="U10" t="str">
        <x:v>Needs supplier confirmation</x:v>
      </x:c>
      <x:c r="V10"/>
      <x:c r="W10" t="str">
        <x:v>Seed or plugs; tolerates mowing and low turf competition.</x:v>
      </x:c>
      <x:c r="X10" t="str">
        <x:v>Excellent low bee-lawn/meadow matrix species in urban lawns and path edges.</x:v>
      </x:c>
      <x:c r="Y10" t="str">
        <x:v>Native North American form should be specified; avoid non-native horticultural material.</x:v>
      </x:c>
      <x:c r="Z10" t="str">
        <x:v>EFLORA_BC; POLLINATOR_LM</x:v>
      </x:c>
      <x:c r="AA10" t="str">
        <x:v>Draft</x:v>
      </x:c>
    </x:row>
    <x:row r="11">
      <x:c r="A11" t="str">
        <x:v>GEU_MAC</x:v>
      </x:c>
      <x:c r="B11" t="str">
        <x:v>Geum macrophyllum</x:v>
      </x:c>
      <x:c r="C11" t="str">
        <x:v>Large-leaved avens</x:v>
      </x:c>
      <x:c r="D11" t="str">
        <x:v>Rosaceae</x:v>
      </x:c>
      <x:c r="E11" t="str">
        <x:v>Perennial</x:v>
      </x:c>
      <x:c r="F11" t="str">
        <x:v>Forb</x:v>
      </x:c>
      <x:c r="G11" t="n">
        <x:v>20</x:v>
      </x:c>
      <x:c r="H11" t="n">
        <x:v>60</x:v>
      </x:c>
      <x:c r="I11" t="str">
        <x:v>Part shade</x:v>
      </x:c>
      <x:c r="J11" t="str">
        <x:v>Mesic</x:v>
      </x:c>
      <x:c r="K11" t="str">
        <x:v>May</x:v>
      </x:c>
      <x:c r="L11" t="str">
        <x:v>Aug</x:v>
      </x:c>
      <x:c r="M11" t="str">
        <x:v>Yellow</x:v>
      </x:c>
      <x:c r="N11" t="n">
        <x:v>3</x:v>
      </x:c>
      <x:c r="O11" t="n">
        <x:v>2</x:v>
      </x:c>
      <x:c r="P11" t="n">
        <x:v>2</x:v>
      </x:c>
      <x:c r="Q11" t="n">
        <x:v>1</x:v>
      </x:c>
      <x:c r="R11" t="n">
        <x:v>4</x:v>
      </x:c>
      <x:c r="S11" t="n">
        <x:v>3</x:v>
      </x:c>
      <x:c r="T11" t="n">
        <x:f>ROUND(AVERAGE(N11:S11),1)</x:f>
        <x:v>2.5</x:v>
      </x:c>
      <x:c r="U11" t="str">
        <x:v>Needs supplier confirmation</x:v>
      </x:c>
      <x:c r="V11"/>
      <x:c r="W11" t="str">
        <x:v>Seed/plug; establish in mesic soils with partial shade.</x:v>
      </x:c>
      <x:c r="X11" t="str">
        <x:v>Useful in rain-garden shoulders, woodland edges, and mesic urban beds.</x:v>
      </x:c>
      <x:c r="Y11" t="str">
        <x:v>Native in BC; common in moist disturbed and open habitats.</x:v>
      </x:c>
      <x:c r="Z11" t="str">
        <x:v>EFLORA_BC; FVC_NATIVE_GUIDE</x:v>
      </x:c>
      <x:c r="AA11" t="str">
        <x:v>Draft</x:v>
      </x:c>
    </x:row>
    <x:row r="12">
      <x:c r="A12" t="str">
        <x:v>AQU_FOR</x:v>
      </x:c>
      <x:c r="B12" t="str">
        <x:v>Aquilegia formosa</x:v>
      </x:c>
      <x:c r="C12" t="str">
        <x:v>Red columbine</x:v>
      </x:c>
      <x:c r="D12" t="str">
        <x:v>Ranunculaceae</x:v>
      </x:c>
      <x:c r="E12" t="str">
        <x:v>Perennial</x:v>
      </x:c>
      <x:c r="F12" t="str">
        <x:v>Forb</x:v>
      </x:c>
      <x:c r="G12" t="n">
        <x:v>30</x:v>
      </x:c>
      <x:c r="H12" t="n">
        <x:v>60</x:v>
      </x:c>
      <x:c r="I12" t="str">
        <x:v>Part shade</x:v>
      </x:c>
      <x:c r="J12" t="str">
        <x:v>Mesic</x:v>
      </x:c>
      <x:c r="K12" t="str">
        <x:v>May</x:v>
      </x:c>
      <x:c r="L12" t="str">
        <x:v>Aug</x:v>
      </x:c>
      <x:c r="M12" t="str">
        <x:v>Red-yellow</x:v>
      </x:c>
      <x:c r="N12" t="n">
        <x:v>2</x:v>
      </x:c>
      <x:c r="O12" t="n">
        <x:v>4</x:v>
      </x:c>
      <x:c r="P12" t="n">
        <x:v>2</x:v>
      </x:c>
      <x:c r="Q12" t="n">
        <x:v>1</x:v>
      </x:c>
      <x:c r="R12" t="n">
        <x:v>4</x:v>
      </x:c>
      <x:c r="S12" t="n">
        <x:v>4</x:v>
      </x:c>
      <x:c r="T12" t="n">
        <x:f>ROUND(AVERAGE(N12:S12),1)</x:f>
        <x:v>2.8</x:v>
      </x:c>
      <x:c r="U12" t="str">
        <x:v>Needs supplier confirmation</x:v>
      </x:c>
      <x:c r="V12"/>
      <x:c r="W12" t="str">
        <x:v>Seed may benefit from cold stratification; plugs establish reliably.</x:v>
      </x:c>
      <x:c r="X12" t="str">
        <x:v>High wildlife/pollinator value; good for partly shaded urban beds and forest edges.</x:v>
      </x:c>
      <x:c r="Y12" t="str">
        <x:v>Native in BC; suitable where moisture is adequate.</x:v>
      </x:c>
      <x:c r="Z12" t="str">
        <x:v>EFLORA_BC; FVC_NATIVE_GUIDE; POLLINATOR_LM</x:v>
      </x:c>
      <x:c r="AA12" t="str">
        <x:v>Draft</x:v>
      </x:c>
    </x:row>
    <x:row r="13">
      <x:c r="A13" t="str">
        <x:v>DAN_CAL</x:v>
      </x:c>
      <x:c r="B13" t="str">
        <x:v>Danthonia californica</x:v>
      </x:c>
      <x:c r="C13" t="str">
        <x:v>California oatgrass</x:v>
      </x:c>
      <x:c r="D13" t="str">
        <x:v>Poaceae</x:v>
      </x:c>
      <x:c r="E13" t="str">
        <x:v>Perennial</x:v>
      </x:c>
      <x:c r="F13" t="str">
        <x:v>Grass</x:v>
      </x:c>
      <x:c r="G13" t="n">
        <x:v>20</x:v>
      </x:c>
      <x:c r="H13" t="n">
        <x:v>60</x:v>
      </x:c>
      <x:c r="I13" t="str">
        <x:v>Full sun</x:v>
      </x:c>
      <x:c r="J13" t="str">
        <x:v>Dry-mesic</x:v>
      </x:c>
      <x:c r="K13" t="str">
        <x:v>May</x:v>
      </x:c>
      <x:c r="L13" t="str">
        <x:v>Jul</x:v>
      </x:c>
      <x:c r="M13" t="str">
        <x:v>Green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4</x:v>
      </x:c>
      <x:c r="S13" t="n">
        <x:v>5</x:v>
      </x:c>
      <x:c r="T13" t="n">
        <x:f>ROUND(AVERAGE(N13:S13),1)</x:f>
        <x:v>1.5</x:v>
      </x:c>
      <x:c r="U13" t="str">
        <x:v>Needs supplier confirmation</x:v>
      </x:c>
      <x:c r="V13"/>
      <x:c r="W13" t="str">
        <x:v>Bunchgrass; seed establishment can be slow; use plugs or well-prepared seedbeds.</x:v>
      </x:c>
      <x:c r="X13" t="str">
        <x:v>Strong native grass matrix for meadows, erosion control, and low-input sunny plantings.</x:v>
      </x:c>
      <x:c r="Y13" t="str">
        <x:v>Regionally appropriate in Garry oak/coastal meadow contexts; verify local provenance.</x:v>
      </x:c>
      <x:c r="Z13" t="str">
        <x:v>EFLORA_BC; FVC_NATIVE_GUIDE</x:v>
      </x:c>
      <x:c r="AA13" t="str">
        <x:v>Draft</x:v>
      </x:c>
    </x:row>
  </x:sheetData>
  <x:conditionalFormatting sqref="T2:T20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6">
    <x:dataValidation type="list" sqref="E2:E200">
      <x:formula1>Lookups!$E$2:$E$4</x:formula1>
    </x:dataValidation>
    <x:dataValidation type="list" sqref="F2:F200">
      <x:formula1>Lookups!$G$2:$G$7</x:formula1>
    </x:dataValidation>
    <x:dataValidation type="list" sqref="I2:I200">
      <x:formula1>Lookups!$A$2:$A$5</x:formula1>
    </x:dataValidation>
    <x:dataValidation type="list" sqref="J2:J200">
      <x:formula1>Lookups!$C$2:$C$6</x:formula1>
    </x:dataValidation>
    <x:dataValidation type="list" sqref="N2:S200">
      <x:formula1>Lookups!$I$2:$I$7</x:formula1>
    </x:dataValidation>
    <x:dataValidation type="list" sqref="AA2:AA200">
      <x:formula1>Lookups!$K$2:$K$5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cdcd1ab90942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20" t="str">
        <x:v>Light</x:v>
      </x:c>
      <x:c r="C1" s="20" t="str">
        <x:v>Moisture</x:v>
      </x:c>
      <x:c r="E1" s="20" t="str">
        <x:v>Life Cycle</x:v>
      </x:c>
      <x:c r="G1" s="20" t="str">
        <x:v>Growth Form</x:v>
      </x:c>
      <x:c r="I1" s="20" t="str">
        <x:v>Value Score</x:v>
      </x:c>
      <x:c r="K1" s="20" t="str">
        <x:v>Review Status</x:v>
      </x:c>
      <x:c r="M1" s="20" t="str">
        <x:v>Restoration Suitability</x:v>
      </x:c>
    </x:row>
    <x:row r="2">
      <x:c r="A2" t="str">
        <x:v>Full sun</x:v>
      </x:c>
      <x:c r="C2" t="str">
        <x:v>Dry</x:v>
      </x:c>
      <x:c r="E2" t="str">
        <x:v>Annual</x:v>
      </x:c>
      <x:c r="G2" t="str">
        <x:v>Forb</x:v>
      </x:c>
      <x:c r="I2" t="n">
        <x:v>0</x:v>
      </x:c>
      <x:c r="K2" t="str">
        <x:v>Draft</x:v>
      </x:c>
      <x:c r="M2" t="str">
        <x:v>Low</x:v>
      </x:c>
    </x:row>
    <x:row r="3">
      <x:c r="A3" t="str">
        <x:v>Part sun</x:v>
      </x:c>
      <x:c r="C3" t="str">
        <x:v>Dry-mesic</x:v>
      </x:c>
      <x:c r="E3" t="str">
        <x:v>Biennial</x:v>
      </x:c>
      <x:c r="G3" t="str">
        <x:v>Grass</x:v>
      </x:c>
      <x:c r="I3" t="n">
        <x:v>1</x:v>
      </x:c>
      <x:c r="K3" t="str">
        <x:v>Needs review</x:v>
      </x:c>
      <x:c r="M3" t="str">
        <x:v>Moderate</x:v>
      </x:c>
    </x:row>
    <x:row r="4">
      <x:c r="A4" t="str">
        <x:v>Part shade</x:v>
      </x:c>
      <x:c r="C4" t="str">
        <x:v>Mesic</x:v>
      </x:c>
      <x:c r="E4" t="str">
        <x:v>Perennial</x:v>
      </x:c>
      <x:c r="G4" t="str">
        <x:v>Sedge/rush</x:v>
      </x:c>
      <x:c r="I4" t="n">
        <x:v>2</x:v>
      </x:c>
      <x:c r="K4" t="str">
        <x:v>Verified</x:v>
      </x:c>
      <x:c r="M4" t="str">
        <x:v>High</x:v>
      </x:c>
    </x:row>
    <x:row r="5">
      <x:c r="A5" t="str">
        <x:v>Shade</x:v>
      </x:c>
      <x:c r="C5" t="str">
        <x:v>Moist</x:v>
      </x:c>
      <x:c r="G5" t="str">
        <x:v>Fern</x:v>
      </x:c>
      <x:c r="I5" t="n">
        <x:v>3</x:v>
      </x:c>
      <x:c r="K5" t="str">
        <x:v>Deprecated</x:v>
      </x:c>
      <x:c r="M5" t="str">
        <x:v>Flagship</x:v>
      </x:c>
    </x:row>
    <x:row r="6">
      <x:c r="C6" t="str">
        <x:v>Wet</x:v>
      </x:c>
      <x:c r="G6" t="str">
        <x:v>Groundcover</x:v>
      </x:c>
      <x:c r="I6" t="n">
        <x:v>4</x:v>
      </x:c>
    </x:row>
    <x:row r="7">
      <x:c r="G7" t="str">
        <x:v>Low shrub</x:v>
      </x:c>
      <x:c r="I7" t="n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8" hidden="0" customWidth="1"/>
    <x:col min="4" max="4" width="48" hidden="0" customWidth="1"/>
  </x:cols>
  <x:sheetData>
    <x:row r="1">
      <x:c r="A1" s="20" t="str">
        <x:v>Score Field</x:v>
      </x:c>
      <x:c r="B1" s="20" t="str">
        <x:v>Scale</x:v>
      </x:c>
      <x:c r="C1" s="20" t="str">
        <x:v>Interpretation</x:v>
      </x:c>
      <x:c r="D1" s="20" t="str">
        <x:v>Notes</x:v>
      </x:c>
    </x:row>
    <x:row r="2">
      <x:c r="A2" t="str">
        <x:v>Pollen_Value</x:v>
      </x:c>
      <x:c r="B2" t="str">
        <x:v>0–5</x:v>
      </x:c>
      <x:c r="C2" t="str">
        <x:v>0 = negligible/unknown; 5 = high pollen value for native bees</x:v>
      </x:c>
      <x:c r="D2" t="str">
        <x:v>Use literature and field observations where available.</x:v>
      </x:c>
    </x:row>
    <x:row r="3">
      <x:c r="A3" t="str">
        <x:v>Nectar_Value</x:v>
      </x:c>
      <x:c r="B3" t="str">
        <x:v>0–5</x:v>
      </x:c>
      <x:c r="C3" t="str">
        <x:v>0 = negligible/unknown; 5 = high nectar value</x:v>
      </x:c>
      <x:c r="D3" t="str">
        <x:v>Separate nectar from pollen because bee guild response differs.</x:v>
      </x:c>
    </x:row>
    <x:row r="4">
      <x:c r="A4" t="str">
        <x:v>Bumblebee_Value</x:v>
      </x:c>
      <x:c r="B4" t="str">
        <x:v>0–5</x:v>
      </x:c>
      <x:c r="C4" t="str">
        <x:v>0 = negligible/unknown; 5 = strongly used by Bombus spp.</x:v>
      </x:c>
      <x:c r="D4" t="str">
        <x:v>Prioritize mid/late-season forage where regional gaps exist.</x:v>
      </x:c>
    </x:row>
    <x:row r="5">
      <x:c r="A5" t="str">
        <x:v>Specialist_Bee_Value</x:v>
      </x:c>
      <x:c r="B5" t="str">
        <x:v>0–5</x:v>
      </x:c>
      <x:c r="C5" t="str">
        <x:v>0 = none known; 5 = documented specialist association of local relevance</x:v>
      </x:c>
      <x:c r="D5" t="str">
        <x:v>Requires species-by-species citations.</x:v>
      </x:c>
    </x:row>
    <x:row r="6">
      <x:c r="A6" t="str">
        <x:v>Urban_Suitability</x:v>
      </x:c>
      <x:c r="B6" t="str">
        <x:v>0–5</x:v>
      </x:c>
      <x:c r="C6" t="str">
        <x:v>0 = unsuitable; 5 = high tolerance of urban constraints</x:v>
      </x:c>
      <x:c r="D6" t="str">
        <x:v>Consider drought, compaction, maintenance tolerance, public-realm fit.</x:v>
      </x:c>
    </x:row>
    <x:row r="7">
      <x:c r="A7" t="str">
        <x:v>Restoration_Suitability</x:v>
      </x:c>
      <x:c r="B7" t="str">
        <x:v>0–5</x:v>
      </x:c>
      <x:c r="C7" t="str">
        <x:v>0 = low; 5 = flagship restoration species</x:v>
      </x:c>
      <x:c r="D7" t="str">
        <x:v>Consider establishment, native range, ecological function, seed/plug availability.</x:v>
      </x:c>
    </x:row>
    <x:row r="8">
      <x:c r="A8" t="str">
        <x:v>Composite_Eco_Score</x:v>
      </x:c>
      <x:c r="B8" t="str">
        <x:v>Formula</x:v>
      </x:c>
      <x:c r="C8" t="str">
        <x:v>Weighted mean of pollinator and restoration values</x:v>
      </x:c>
      <x:c r="D8" t="str">
        <x:v>In Species_Master: weighted score placeholder uses available 0–5 fields.</x:v>
      </x:c>
    </x:row>
  </x:sheetData>
  <x:pageMargins left="0.7" right="0.7" top="0.75" bottom="0.75" header="0.3" footer="0.3"/>
  <x:tableParts count="1">
    <x:tablePart xmlns:r="http://schemas.openxmlformats.org/officeDocument/2006/relationships" r:id="Rf7cdd8956d2e44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16" hidden="0" customWidth="1"/>
  </x:cols>
  <x:sheetData>
    <x:row r="1">
      <x:c r="A1" s="20" t="str">
        <x:v>Species_ID</x:v>
      </x:c>
      <x:c r="B1" s="20" t="str">
        <x:v>Botanical_Name</x:v>
      </x:c>
      <x:c r="C1" s="20" t="str">
        <x:v>Common_Name</x:v>
      </x:c>
      <x:c r="D1" s="20" t="str">
        <x:v>Jan</x:v>
      </x:c>
      <x:c r="E1" s="20" t="str">
        <x:v>Feb</x:v>
      </x:c>
      <x:c r="F1" s="20" t="str">
        <x:v>Mar</x:v>
      </x:c>
      <x:c r="G1" s="20" t="str">
        <x:v>Apr</x:v>
      </x:c>
      <x:c r="H1" s="20" t="str">
        <x:v>May</x:v>
      </x:c>
      <x:c r="I1" s="20" t="str">
        <x:v>Jun</x:v>
      </x:c>
      <x:c r="J1" s="20" t="str">
        <x:v>Jul</x:v>
      </x:c>
      <x:c r="K1" s="20" t="str">
        <x:v>Aug</x:v>
      </x:c>
      <x:c r="L1" s="20" t="str">
        <x:v>Sep</x:v>
      </x:c>
      <x:c r="M1" s="20" t="str">
        <x:v>Oct</x:v>
      </x:c>
      <x:c r="N1" s="20" t="str">
        <x:v>Nov</x:v>
      </x:c>
      <x:c r="O1" s="20" t="str">
        <x:v>Dec</x:v>
      </x:c>
      <x:c r="P1" s="20" t="str">
        <x:v>Bloom_Month_Count</x:v>
      </x:c>
    </x:row>
    <x:row r="2">
      <x:c r="A2" t="str">
        <x:v>ACH_MIL</x:v>
      </x:c>
      <x:c r="B2" t="str">
        <x:v>Achillea millefolium</x:v>
      </x:c>
      <x:c r="C2" t="str">
        <x:v>Yarrow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1</x:v>
      </x:c>
      <x:c r="I2" t="n">
        <x:v>1</x:v>
      </x:c>
      <x:c r="J2" t="n">
        <x:v>1</x:v>
      </x:c>
      <x:c r="K2" t="n">
        <x:v>1</x:v>
      </x:c>
      <x:c r="L2" t="n">
        <x:v>1</x:v>
      </x:c>
      <x:c r="M2" t="n">
        <x:v>0</x:v>
      </x:c>
      <x:c r="N2" t="n">
        <x:v>0</x:v>
      </x:c>
      <x:c r="O2" t="n">
        <x:v>0</x:v>
      </x:c>
      <x:c r="P2" t="n">
        <x:f>SUM(D2:O2)</x:f>
        <x:v>5</x:v>
      </x:c>
    </x:row>
    <x:row r="3">
      <x:c r="A3" t="str">
        <x:v>CAM_ROT</x:v>
      </x:c>
      <x:c r="B3" t="str">
        <x:v>Camassia quamash</x:v>
      </x:c>
      <x:c r="C3" t="str">
        <x:v>Common camas</x:v>
      </x:c>
      <x:c r="D3" t="n">
        <x:v>0</x:v>
      </x:c>
      <x:c r="E3" t="n">
        <x:v>0</x:v>
      </x:c>
      <x:c r="F3" t="n">
        <x:v>0</x:v>
      </x:c>
      <x:c r="G3" t="n">
        <x:v>1</x:v>
      </x:c>
      <x:c r="H3" t="n">
        <x:v>1</x:v>
      </x:c>
      <x:c r="I3" t="n">
        <x:v>1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f>SUM(D3:O3)</x:f>
        <x:v>3</x:v>
      </x:c>
    </x:row>
    <x:row r="4">
      <x:c r="A4" t="str">
        <x:v>FRA_VES</x:v>
      </x:c>
      <x:c r="B4" t="str">
        <x:v>Fragaria vesca</x:v>
      </x:c>
      <x:c r="C4" t="str">
        <x:v>Woodland strawberry</x:v>
      </x:c>
      <x:c r="D4" t="n">
        <x:v>0</x:v>
      </x:c>
      <x:c r="E4" t="n">
        <x:v>0</x:v>
      </x:c>
      <x:c r="F4" t="n">
        <x:v>0</x:v>
      </x:c>
      <x:c r="G4" t="n">
        <x:v>1</x:v>
      </x:c>
      <x:c r="H4" t="n">
        <x:v>1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f>SUM(D4:O4)</x:f>
        <x:v>3</x:v>
      </x:c>
    </x:row>
    <x:row r="5">
      <x:c r="A5" t="str">
        <x:v>FRA_CHI</x:v>
      </x:c>
      <x:c r="B5" t="str">
        <x:v>Fragaria chiloensis</x:v>
      </x:c>
      <x:c r="C5" t="str">
        <x:v>Coastal strawberry</x:v>
      </x:c>
      <x:c r="D5" t="n">
        <x:v>0</x:v>
      </x:c>
      <x:c r="E5" t="n">
        <x:v>0</x:v>
      </x:c>
      <x:c r="F5" t="n">
        <x:v>0</x:v>
      </x:c>
      <x:c r="G5" t="n">
        <x:v>1</x:v>
      </x:c>
      <x:c r="H5" t="n">
        <x:v>1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f>SUM(D5:O5)</x:f>
        <x:v>3</x:v>
      </x:c>
    </x:row>
    <x:row r="6">
      <x:c r="A6" t="str">
        <x:v>SIS_IDA</x:v>
      </x:c>
      <x:c r="B6" t="str">
        <x:v>Sisyrinchium idahoense</x:v>
      </x:c>
      <x:c r="C6" t="str">
        <x:v>Idaho blue-eyed grass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1</x:v>
      </x:c>
      <x:c r="I6" t="n">
        <x:v>1</x:v>
      </x:c>
      <x:c r="J6" t="n">
        <x:v>1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f>SUM(D6:O6)</x:f>
        <x:v>3</x:v>
      </x:c>
    </x:row>
    <x:row r="7">
      <x:c r="A7" t="str">
        <x:v>COL_PAR</x:v>
      </x:c>
      <x:c r="B7" t="str">
        <x:v>Collinsia parviflora</x:v>
      </x:c>
      <x:c r="C7" t="str">
        <x:v>Small-flowered blue-eyed Mary</x:v>
      </x:c>
      <x:c r="D7" t="n">
        <x:v>0</x:v>
      </x:c>
      <x:c r="E7" t="n">
        <x:v>0</x:v>
      </x:c>
      <x:c r="F7" t="n">
        <x:v>1</x:v>
      </x:c>
      <x:c r="G7" t="n">
        <x:v>1</x:v>
      </x:c>
      <x:c r="H7" t="n">
        <x:v>1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f>SUM(D7:O7)</x:f>
        <x:v>4</x:v>
      </x:c>
    </x:row>
    <x:row r="8">
      <x:c r="A8" t="str">
        <x:v>PTE_AQU</x:v>
      </x:c>
      <x:c r="B8" t="str">
        <x:v>Pteridium aquilinum</x:v>
      </x:c>
      <x:c r="C8" t="str">
        <x:v>Bracken fern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f>SUM(D8:O8)</x:f>
        <x:v>0</x:v>
      </x:c>
    </x:row>
    <x:row r="9">
      <x:c r="A9" t="str">
        <x:v>LUP_BIC</x:v>
      </x:c>
      <x:c r="B9" t="str">
        <x:v>Lupinus bicolor</x:v>
      </x:c>
      <x:c r="C9" t="str">
        <x:v>Miniature lupine</x:v>
      </x:c>
      <x:c r="D9" t="n">
        <x:v>0</x:v>
      </x:c>
      <x:c r="E9" t="n">
        <x:v>0</x:v>
      </x:c>
      <x:c r="F9" t="n">
        <x:v>0</x:v>
      </x:c>
      <x:c r="G9" t="n">
        <x:v>1</x:v>
      </x:c>
      <x:c r="H9" t="n">
        <x:v>1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f>SUM(D9:O9)</x:f>
        <x:v>3</x:v>
      </x:c>
    </x:row>
    <x:row r="10">
      <x:c r="A10" t="str">
        <x:v>PRA_VUL</x:v>
      </x:c>
      <x:c r="B10" t="str">
        <x:v>Prunella vulgaris ssp. lanceolata</x:v>
      </x:c>
      <x:c r="C10" t="str">
        <x:v>Self-heal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1</x:v>
      </x:c>
      <x:c r="K10" t="n">
        <x:v>1</x:v>
      </x:c>
      <x:c r="L10" t="n">
        <x:v>1</x:v>
      </x:c>
      <x:c r="M10" t="n">
        <x:v>0</x:v>
      </x:c>
      <x:c r="N10" t="n">
        <x:v>0</x:v>
      </x:c>
      <x:c r="O10" t="n">
        <x:v>0</x:v>
      </x:c>
      <x:c r="P10" t="n">
        <x:f>SUM(D10:O10)</x:f>
        <x:v>4</x:v>
      </x:c>
    </x:row>
    <x:row r="11">
      <x:c r="A11" t="str">
        <x:v>GEU_MAC</x:v>
      </x:c>
      <x:c r="B11" t="str">
        <x:v>Geum macrophyllum</x:v>
      </x:c>
      <x:c r="C11" t="str">
        <x:v>Large-leaved avens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1</x:v>
      </x:c>
      <x:c r="I11" t="n">
        <x:v>1</x:v>
      </x:c>
      <x:c r="J11" t="n">
        <x:v>1</x:v>
      </x:c>
      <x:c r="K11" t="n">
        <x:v>1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f>SUM(D11:O11)</x:f>
        <x:v>4</x:v>
      </x:c>
    </x:row>
    <x:row r="12">
      <x:c r="A12" t="str">
        <x:v>AQU_FOR</x:v>
      </x:c>
      <x:c r="B12" t="str">
        <x:v>Aquilegia formosa</x:v>
      </x:c>
      <x:c r="C12" t="str">
        <x:v>Red columbine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1</x:v>
      </x:c>
      <x:c r="I12" t="n">
        <x:v>1</x:v>
      </x:c>
      <x:c r="J12" t="n">
        <x:v>1</x:v>
      </x:c>
      <x:c r="K12" t="n">
        <x:v>1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f>SUM(D12:O12)</x:f>
        <x:v>4</x:v>
      </x:c>
    </x:row>
    <x:row r="13">
      <x:c r="A13" t="str">
        <x:v>DAN_CAL</x:v>
      </x:c>
      <x:c r="B13" t="str">
        <x:v>Danthonia californica</x:v>
      </x:c>
      <x:c r="C13" t="str">
        <x:v>California oatgrass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1</x:v>
      </x:c>
      <x:c r="I13" t="n">
        <x:v>1</x:v>
      </x:c>
      <x:c r="J13" t="n">
        <x:v>1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f>SUM(D13:O13)</x:f>
        <x:v>3</x:v>
      </x:c>
    </x:row>
  </x:sheetData>
  <x:conditionalFormatting sqref="D2:O200">
    <x:cfRule type="cellIs" dxfId="0" priority="1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37c1281d06472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12" hidden="0" customWidth="1"/>
    <x:col min="5" max="5" width="16" hidden="0" customWidth="1"/>
    <x:col min="6" max="6" width="14" hidden="0" customWidth="1"/>
    <x:col min="7" max="7" width="18" hidden="0" customWidth="1"/>
    <x:col min="8" max="8" width="42" hidden="0" customWidth="1"/>
  </x:cols>
  <x:sheetData>
    <x:row r="1">
      <x:c r="A1" s="12" t="str">
        <x:v>Seed Mix Optimizer — draft scaffold</x:v>
      </x:c>
      <x:c r="B1" s="13" t="str"/>
      <x:c r="C1" s="13" t="str"/>
      <x:c r="D1" s="13" t="str"/>
      <x:c r="E1" s="13" t="str"/>
      <x:c r="F1" s="13" t="str"/>
      <x:c r="G1" s="13" t="str"/>
      <x:c r="H1" s="13" t="str"/>
    </x:row>
    <x:row r="2">
      <x:c r="A2" s="6" t="str">
        <x:v>Target area (m²)</x:v>
      </x:c>
      <x:c r="B2" t="n">
        <x:v>100</x:v>
      </x:c>
      <x:c r="C2" t="str"/>
      <x:c r="D2" t="str"/>
      <x:c r="E2" t="str"/>
      <x:c r="F2" t="str"/>
      <x:c r="G2" t="str"/>
      <x:c r="H2" t="str"/>
    </x:row>
    <x:row r="3">
      <x:c r="A3" s="6" t="str">
        <x:v>Total target seed rate (kg/ha)</x:v>
      </x:c>
      <x:c r="B3" t="n">
        <x:v>8</x:v>
      </x:c>
      <x:c r="C3" t="str"/>
      <x:c r="D3" t="str"/>
      <x:c r="E3" t="str"/>
      <x:c r="F3" t="str"/>
      <x:c r="G3" t="str"/>
      <x:c r="H3" t="str"/>
    </x:row>
    <x:row r="4">
      <x:c r="A4" s="6" t="str">
        <x:v>No single species &gt;10% of mix?</x:v>
      </x:c>
      <x:c r="B4" t="str">
        <x:v>Yes — City of Vancouver GRI guideline rule of thumb captured in References.</x:v>
      </x:c>
      <x:c r="C4" t="str"/>
      <x:c r="D4" t="str"/>
      <x:c r="E4" t="str"/>
      <x:c r="F4" t="str"/>
      <x:c r="G4" t="str"/>
      <x:c r="H4" t="str"/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s="20" t="str">
        <x:v>Species_ID</x:v>
      </x:c>
      <x:c r="B6" s="20" t="str">
        <x:v>Botanical_Name</x:v>
      </x:c>
      <x:c r="C6" s="20" t="str">
        <x:v>Common_Name</x:v>
      </x:c>
      <x:c r="D6" s="20" t="str">
        <x:v>Target_%</x:v>
      </x:c>
      <x:c r="E6" s="20" t="str">
        <x:v>Raw_kg_required</x:v>
      </x:c>
      <x:c r="F6" s="20" t="str">
        <x:v>Seeds_per_kg</x:v>
      </x:c>
      <x:c r="G6" s="20" t="str">
        <x:v>Estimated_Seeds</x:v>
      </x:c>
      <x:c r="H6" s="20" t="str">
        <x:v>Notes</x:v>
      </x:c>
    </x:row>
    <x:row r="7">
      <x:c r="A7" t="str">
        <x:v>ACH_MIL</x:v>
      </x:c>
      <x:c r="B7" t="str">
        <x:v>Achillea millefolium</x:v>
      </x:c>
      <x:c r="C7" t="str">
        <x:v>Yarrow</x:v>
      </x:c>
      <x:c r="D7" s="26" t="n">
        <x:v>0.1</x:v>
      </x:c>
      <x:c r="E7" s="28" t="n">
        <x:f>($B$2*$B$3/10000)*D7</x:f>
        <x:v>0.008</x:v>
      </x:c>
      <x:c r="F7" t="str">
        <x:f>IFERROR(XLOOKUP(A7,Species_Master!A:A,Species_Master!V:V),"")</x:f>
      </x:c>
      <x:c r="G7" s="30" t="n">
        <x:f>IFERROR(E7*F7,"")</x:f>
        <x:v>0</x:v>
      </x:c>
      <x:c r="H7" t="str">
        <x:v>Seed/kg pending; formula ready once seed data is added.</x:v>
      </x:c>
    </x:row>
    <x:row r="8">
      <x:c r="A8" t="str">
        <x:v>CAM_ROT</x:v>
      </x:c>
      <x:c r="B8" t="str">
        <x:v>Camassia quamash</x:v>
      </x:c>
      <x:c r="C8" t="str">
        <x:v>Common camas</x:v>
      </x:c>
      <x:c r="D8" s="26" t="n">
        <x:v>0.1</x:v>
      </x:c>
      <x:c r="E8" s="28" t="n">
        <x:f>($B$2*$B$3/10000)*D8</x:f>
        <x:v>0.008</x:v>
      </x:c>
      <x:c r="F8" t="str">
        <x:f>IFERROR(XLOOKUP(A8,Species_Master!A:A,Species_Master!V:V),"")</x:f>
      </x:c>
      <x:c r="G8" s="30" t="n">
        <x:f>IFERROR(E8*F8,"")</x:f>
        <x:v>0</x:v>
      </x:c>
      <x:c r="H8" t="str">
        <x:v>Seed/kg pending; formula ready once seed data is added.</x:v>
      </x:c>
    </x:row>
    <x:row r="9">
      <x:c r="A9" t="str">
        <x:v>FRA_VES</x:v>
      </x:c>
      <x:c r="B9" t="str">
        <x:v>Fragaria vesca</x:v>
      </x:c>
      <x:c r="C9" t="str">
        <x:v>Woodland strawberry</x:v>
      </x:c>
      <x:c r="D9" s="26" t="n">
        <x:v>0.1</x:v>
      </x:c>
      <x:c r="E9" s="28" t="n">
        <x:f>($B$2*$B$3/10000)*D9</x:f>
        <x:v>0.008</x:v>
      </x:c>
      <x:c r="F9" t="str">
        <x:f>IFERROR(XLOOKUP(A9,Species_Master!A:A,Species_Master!V:V),"")</x:f>
      </x:c>
      <x:c r="G9" s="30" t="n">
        <x:f>IFERROR(E9*F9,"")</x:f>
        <x:v>0</x:v>
      </x:c>
      <x:c r="H9" t="str">
        <x:v>Seed/kg pending; formula ready once seed data is added.</x:v>
      </x:c>
    </x:row>
    <x:row r="10">
      <x:c r="A10" t="str">
        <x:v>FRA_CHI</x:v>
      </x:c>
      <x:c r="B10" t="str">
        <x:v>Fragaria chiloensis</x:v>
      </x:c>
      <x:c r="C10" t="str">
        <x:v>Coastal strawberry</x:v>
      </x:c>
      <x:c r="D10" s="26" t="n">
        <x:v>0.1</x:v>
      </x:c>
      <x:c r="E10" s="28" t="n">
        <x:f>($B$2*$B$3/10000)*D10</x:f>
        <x:v>0.008</x:v>
      </x:c>
      <x:c r="F10" t="str">
        <x:f>IFERROR(XLOOKUP(A10,Species_Master!A:A,Species_Master!V:V),"")</x:f>
      </x:c>
      <x:c r="G10" s="30" t="n">
        <x:f>IFERROR(E10*F10,"")</x:f>
        <x:v>0</x:v>
      </x:c>
      <x:c r="H10" t="str">
        <x:v>Seed/kg pending; formula ready once seed data is added.</x:v>
      </x:c>
    </x:row>
    <x:row r="11">
      <x:c r="A11" t="str">
        <x:v>SIS_IDA</x:v>
      </x:c>
      <x:c r="B11" t="str">
        <x:v>Sisyrinchium idahoense</x:v>
      </x:c>
      <x:c r="C11" t="str">
        <x:v>Idaho blue-eyed grass</x:v>
      </x:c>
      <x:c r="D11" s="26" t="n">
        <x:v>0.1</x:v>
      </x:c>
      <x:c r="E11" s="28" t="n">
        <x:f>($B$2*$B$3/10000)*D11</x:f>
        <x:v>0.008</x:v>
      </x:c>
      <x:c r="F11" t="str">
        <x:f>IFERROR(XLOOKUP(A11,Species_Master!A:A,Species_Master!V:V),"")</x:f>
      </x:c>
      <x:c r="G11" s="30" t="n">
        <x:f>IFERROR(E11*F11,"")</x:f>
        <x:v>0</x:v>
      </x:c>
      <x:c r="H11" t="str">
        <x:v>Seed/kg pending; formula ready once seed data is added.</x:v>
      </x:c>
    </x:row>
    <x:row r="12">
      <x:c r="A12" t="str">
        <x:v>COL_PAR</x:v>
      </x:c>
      <x:c r="B12" t="str">
        <x:v>Collinsia parviflora</x:v>
      </x:c>
      <x:c r="C12" t="str">
        <x:v>Small-flowered blue-eyed Mary</x:v>
      </x:c>
      <x:c r="D12" s="26" t="n">
        <x:v>0.1</x:v>
      </x:c>
      <x:c r="E12" s="28" t="n">
        <x:f>($B$2*$B$3/10000)*D12</x:f>
        <x:v>0.008</x:v>
      </x:c>
      <x:c r="F12" t="str">
        <x:f>IFERROR(XLOOKUP(A12,Species_Master!A:A,Species_Master!V:V),"")</x:f>
      </x:c>
      <x:c r="G12" s="30" t="n">
        <x:f>IFERROR(E12*F12,"")</x:f>
        <x:v>0</x:v>
      </x:c>
      <x:c r="H12" t="str">
        <x:v>Seed/kg pending; formula ready once seed data is added.</x:v>
      </x:c>
    </x:row>
    <x:row r="13">
      <x:c r="A13" t="str">
        <x:v>PTE_AQU</x:v>
      </x:c>
      <x:c r="B13" t="str">
        <x:v>Pteridium aquilinum</x:v>
      </x:c>
      <x:c r="C13" t="str">
        <x:v>Bracken fern</x:v>
      </x:c>
      <x:c r="D13" s="26" t="n">
        <x:v>0.1</x:v>
      </x:c>
      <x:c r="E13" s="28" t="n">
        <x:f>($B$2*$B$3/10000)*D13</x:f>
        <x:v>0.008</x:v>
      </x:c>
      <x:c r="F13" t="str">
        <x:f>IFERROR(XLOOKUP(A13,Species_Master!A:A,Species_Master!V:V),"")</x:f>
      </x:c>
      <x:c r="G13" s="30" t="n">
        <x:f>IFERROR(E13*F13,"")</x:f>
        <x:v>0</x:v>
      </x:c>
      <x:c r="H13" t="str">
        <x:v>Seed/kg pending; formula ready once seed data is added.</x:v>
      </x:c>
    </x:row>
    <x:row r="14">
      <x:c r="A14" t="str">
        <x:v>LUP_BIC</x:v>
      </x:c>
      <x:c r="B14" t="str">
        <x:v>Lupinus bicolor</x:v>
      </x:c>
      <x:c r="C14" t="str">
        <x:v>Miniature lupine</x:v>
      </x:c>
      <x:c r="D14" s="26" t="n">
        <x:v>0.1</x:v>
      </x:c>
      <x:c r="E14" s="28" t="n">
        <x:f>($B$2*$B$3/10000)*D14</x:f>
        <x:v>0.008</x:v>
      </x:c>
      <x:c r="F14" t="str">
        <x:f>IFERROR(XLOOKUP(A14,Species_Master!A:A,Species_Master!V:V),"")</x:f>
      </x:c>
      <x:c r="G14" s="30" t="n">
        <x:f>IFERROR(E14*F14,"")</x:f>
        <x:v>0</x:v>
      </x:c>
      <x:c r="H14" t="str">
        <x:v>Seed/kg pending; formula ready once seed data is added.</x:v>
      </x:c>
    </x:row>
    <x:row r="15">
      <x:c r="A15" t="str">
        <x:v>PRA_VUL</x:v>
      </x:c>
      <x:c r="B15" t="str">
        <x:v>Prunella vulgaris ssp. lanceolata</x:v>
      </x:c>
      <x:c r="C15" t="str">
        <x:v>Self-heal</x:v>
      </x:c>
      <x:c r="D15" s="26" t="n">
        <x:v>0.1</x:v>
      </x:c>
      <x:c r="E15" s="28" t="n">
        <x:f>($B$2*$B$3/10000)*D15</x:f>
        <x:v>0.008</x:v>
      </x:c>
      <x:c r="F15" t="str">
        <x:f>IFERROR(XLOOKUP(A15,Species_Master!A:A,Species_Master!V:V),"")</x:f>
      </x:c>
      <x:c r="G15" s="30" t="n">
        <x:f>IFERROR(E15*F15,"")</x:f>
        <x:v>0</x:v>
      </x:c>
      <x:c r="H15" t="str">
        <x:v>Seed/kg pending; formula ready once seed data is added.</x:v>
      </x:c>
    </x:row>
    <x:row r="16">
      <x:c r="A16" t="str">
        <x:v>GEU_MAC</x:v>
      </x:c>
      <x:c r="B16" t="str">
        <x:v>Geum macrophyllum</x:v>
      </x:c>
      <x:c r="C16" t="str">
        <x:v>Large-leaved avens</x:v>
      </x:c>
      <x:c r="D16" s="26" t="n">
        <x:v>0.1</x:v>
      </x:c>
      <x:c r="E16" s="28" t="n">
        <x:f>($B$2*$B$3/10000)*D16</x:f>
        <x:v>0.008</x:v>
      </x:c>
      <x:c r="F16" t="str">
        <x:f>IFERROR(XLOOKUP(A16,Species_Master!A:A,Species_Master!V:V),"")</x:f>
      </x:c>
      <x:c r="G16" s="30" t="n">
        <x:f>IFERROR(E16*F16,"")</x:f>
        <x:v>0</x:v>
      </x:c>
      <x:c r="H16" t="str">
        <x:v>Seed/kg pending; formula ready once seed data is added.</x:v>
      </x:c>
    </x:row>
    <x:row r="17">
      <x:c r="D17" s="26"/>
      <x:c r="E17" s="28"/>
      <x:c r="G17" s="30"/>
    </x:row>
    <x:row r="18">
      <x:c r="D18" s="26"/>
      <x:c r="E18" s="28"/>
      <x:c r="G18" s="30"/>
    </x:row>
    <x:row r="19">
      <x:c r="D19" s="26"/>
      <x:c r="E19" s="28"/>
      <x:c r="G19" s="30"/>
    </x:row>
    <x:row r="20">
      <x:c r="D20" s="26"/>
      <x:c r="E20" s="28"/>
      <x:c r="G20" s="30"/>
    </x:row>
    <x:row r="21">
      <x:c r="D21" s="26"/>
      <x:c r="E21" s="28"/>
      <x:c r="G21" s="30"/>
    </x:row>
    <x:row r="22">
      <x:c r="D22" s="26"/>
      <x:c r="E22" s="28"/>
      <x:c r="G22" s="30"/>
    </x:row>
    <x:row r="23">
      <x:c r="D23" s="26"/>
      <x:c r="E23" s="28"/>
      <x:c r="G23" s="30"/>
    </x:row>
    <x:row r="24">
      <x:c r="D24" s="26"/>
      <x:c r="E24" s="28"/>
      <x:c r="G24" s="30"/>
    </x:row>
    <x:row r="25">
      <x:c r="D25" s="26"/>
      <x:c r="E25" s="28"/>
      <x:c r="G25" s="30"/>
    </x:row>
    <x:row r="26">
      <x:c r="D26" s="26"/>
      <x:c r="E26" s="28"/>
      <x:c r="G26" s="30"/>
    </x:row>
    <x:row r="27">
      <x:c r="D27" s="26"/>
      <x:c r="E27" s="28"/>
      <x:c r="G27" s="30"/>
    </x:row>
    <x:row r="28">
      <x:c r="D28" s="26"/>
      <x:c r="E28" s="28"/>
      <x:c r="G28" s="30"/>
    </x:row>
    <x:row r="29">
      <x:c r="D29" s="26"/>
      <x:c r="E29" s="28"/>
      <x:c r="G29" s="30"/>
    </x:row>
    <x:row r="30">
      <x:c r="D30" s="26"/>
      <x:c r="E30" s="28"/>
      <x:c r="G30" s="30"/>
    </x:row>
    <x:row r="31">
      <x:c r="D31" s="26"/>
      <x:c r="E31" s="28"/>
      <x:c r="G31" s="30"/>
    </x:row>
    <x:row r="32">
      <x:c r="D32" s="26"/>
      <x:c r="E32" s="28"/>
      <x:c r="G32" s="30"/>
    </x:row>
    <x:row r="33">
      <x:c r="D33" s="26"/>
      <x:c r="E33" s="28"/>
      <x:c r="G33" s="30"/>
    </x:row>
    <x:row r="34">
      <x:c r="D34" s="26"/>
      <x:c r="E34" s="28"/>
      <x:c r="G34" s="30"/>
    </x:row>
    <x:row r="35">
      <x:c r="D35" s="26"/>
      <x:c r="E35" s="28"/>
      <x:c r="G35" s="30"/>
    </x:row>
    <x:row r="36">
      <x:c r="D36" s="26"/>
      <x:c r="E36" s="28"/>
      <x:c r="G36" s="30"/>
    </x:row>
    <x:row r="37">
      <x:c r="D37" s="26"/>
      <x:c r="E37" s="28"/>
      <x:c r="G37" s="30"/>
    </x:row>
    <x:row r="38">
      <x:c r="D38" s="26"/>
      <x:c r="E38" s="28"/>
      <x:c r="G38" s="30"/>
    </x:row>
    <x:row r="39">
      <x:c r="D39" s="26"/>
      <x:c r="E39" s="28"/>
      <x:c r="G39" s="30"/>
    </x:row>
    <x:row r="40">
      <x:c r="D40" s="26"/>
      <x:c r="E40" s="28"/>
      <x:c r="G40" s="30"/>
    </x:row>
    <x:row r="41">
      <x:c r="D41" s="26"/>
      <x:c r="E41" s="28"/>
      <x:c r="G41" s="30"/>
    </x:row>
    <x:row r="42">
      <x:c r="D42" s="26"/>
      <x:c r="E42" s="28"/>
      <x:c r="G42" s="30"/>
    </x:row>
    <x:row r="43">
      <x:c r="D43" s="26"/>
      <x:c r="E43" s="28"/>
      <x:c r="G43" s="30"/>
    </x:row>
    <x:row r="44">
      <x:c r="D44" s="26"/>
      <x:c r="E44" s="28"/>
      <x:c r="G44" s="30"/>
    </x:row>
    <x:row r="45">
      <x:c r="D45" s="26"/>
      <x:c r="E45" s="28"/>
      <x:c r="G45" s="30"/>
    </x:row>
    <x:row r="46">
      <x:c r="D46" s="26"/>
      <x:c r="E46" s="28"/>
      <x:c r="G46" s="30"/>
    </x:row>
    <x:row r="47">
      <x:c r="D47" s="26"/>
      <x:c r="E47" s="28"/>
      <x:c r="G47" s="30"/>
    </x:row>
    <x:row r="48">
      <x:c r="D48" s="26"/>
      <x:c r="E48" s="28"/>
      <x:c r="G48" s="30"/>
    </x:row>
    <x:row r="49">
      <x:c r="D49" s="26"/>
      <x:c r="E49" s="28"/>
      <x:c r="G49" s="30"/>
    </x:row>
    <x:row r="50">
      <x:c r="D50" s="26"/>
      <x:c r="E50" s="28"/>
      <x:c r="G50" s="30"/>
    </x:row>
    <x:row r="51">
      <x:c r="D51" s="26"/>
      <x:c r="E51" s="28"/>
      <x:c r="G51" s="30"/>
    </x:row>
    <x:row r="52">
      <x:c r="D52" s="26"/>
      <x:c r="E52" s="28"/>
      <x:c r="G52" s="30"/>
    </x:row>
    <x:row r="53">
      <x:c r="D53" s="26"/>
      <x:c r="E53" s="28"/>
      <x:c r="G53" s="30"/>
    </x:row>
    <x:row r="54">
      <x:c r="D54" s="26"/>
      <x:c r="E54" s="28"/>
      <x:c r="G54" s="30"/>
    </x:row>
    <x:row r="55">
      <x:c r="D55" s="26"/>
      <x:c r="E55" s="28"/>
      <x:c r="G55" s="30"/>
    </x:row>
    <x:row r="56">
      <x:c r="D56" s="26"/>
      <x:c r="E56" s="28"/>
      <x:c r="G56" s="30"/>
    </x:row>
    <x:row r="57">
      <x:c r="D57" s="26"/>
      <x:c r="E57" s="28"/>
      <x:c r="G57" s="30"/>
    </x:row>
    <x:row r="58">
      <x:c r="D58" s="26"/>
      <x:c r="E58" s="28"/>
      <x:c r="G58" s="30"/>
    </x:row>
    <x:row r="59">
      <x:c r="D59" s="26"/>
      <x:c r="E59" s="28"/>
      <x:c r="G59" s="30"/>
    </x:row>
    <x:row r="60">
      <x:c r="D60" s="26"/>
      <x:c r="E60" s="28"/>
      <x:c r="G60" s="30"/>
    </x:row>
    <x:row r="61">
      <x:c r="D61" s="26"/>
      <x:c r="E61" s="28"/>
      <x:c r="G61" s="30"/>
    </x:row>
    <x:row r="62">
      <x:c r="D62" s="26"/>
      <x:c r="E62" s="28"/>
      <x:c r="G62" s="30"/>
    </x:row>
    <x:row r="63">
      <x:c r="D63" s="26"/>
      <x:c r="E63" s="28"/>
      <x:c r="G63" s="30"/>
    </x:row>
    <x:row r="64">
      <x:c r="D64" s="26"/>
      <x:c r="E64" s="28"/>
      <x:c r="G64" s="30"/>
    </x:row>
    <x:row r="65">
      <x:c r="D65" s="26"/>
      <x:c r="E65" s="28"/>
      <x:c r="G65" s="30"/>
    </x:row>
    <x:row r="66">
      <x:c r="D66" s="26"/>
      <x:c r="E66" s="28"/>
      <x:c r="G66" s="30"/>
    </x:row>
    <x:row r="67">
      <x:c r="D67" s="26"/>
      <x:c r="E67" s="28"/>
      <x:c r="G67" s="30"/>
    </x:row>
    <x:row r="68">
      <x:c r="D68" s="26"/>
      <x:c r="E68" s="28"/>
      <x:c r="G68" s="30"/>
    </x:row>
    <x:row r="69">
      <x:c r="D69" s="26"/>
      <x:c r="E69" s="28"/>
      <x:c r="G69" s="30"/>
    </x:row>
    <x:row r="70">
      <x:c r="D70" s="26"/>
      <x:c r="E70" s="28"/>
      <x:c r="G70" s="30"/>
    </x:row>
    <x:row r="71">
      <x:c r="D71" s="26"/>
      <x:c r="E71" s="28"/>
      <x:c r="G71" s="30"/>
    </x:row>
    <x:row r="72">
      <x:c r="D72" s="26"/>
      <x:c r="E72" s="28"/>
      <x:c r="G72" s="30"/>
    </x:row>
    <x:row r="73">
      <x:c r="D73" s="26"/>
      <x:c r="E73" s="28"/>
      <x:c r="G73" s="30"/>
    </x:row>
    <x:row r="74">
      <x:c r="D74" s="26"/>
      <x:c r="E74" s="28"/>
      <x:c r="G74" s="30"/>
    </x:row>
    <x:row r="75">
      <x:c r="D75" s="26"/>
      <x:c r="E75" s="28"/>
      <x:c r="G75" s="30"/>
    </x:row>
    <x:row r="76">
      <x:c r="D76" s="26"/>
      <x:c r="E76" s="28"/>
      <x:c r="G76" s="30"/>
    </x:row>
    <x:row r="77">
      <x:c r="D77" s="26"/>
      <x:c r="E77" s="28"/>
      <x:c r="G77" s="30"/>
    </x:row>
    <x:row r="78">
      <x:c r="D78" s="26"/>
      <x:c r="E78" s="28"/>
      <x:c r="G78" s="30"/>
    </x:row>
    <x:row r="79">
      <x:c r="D79" s="26"/>
      <x:c r="E79" s="28"/>
      <x:c r="G79" s="30"/>
    </x:row>
    <x:row r="80">
      <x:c r="D80" s="26"/>
      <x:c r="E80" s="28"/>
      <x:c r="G80" s="30"/>
    </x:row>
    <x:row r="81">
      <x:c r="D81" s="26"/>
      <x:c r="E81" s="28"/>
      <x:c r="G81" s="30"/>
    </x:row>
    <x:row r="82">
      <x:c r="D82" s="26"/>
      <x:c r="E82" s="28"/>
      <x:c r="G82" s="30"/>
    </x:row>
    <x:row r="83">
      <x:c r="D83" s="26"/>
      <x:c r="E83" s="28"/>
      <x:c r="G83" s="30"/>
    </x:row>
    <x:row r="84">
      <x:c r="D84" s="26"/>
      <x:c r="E84" s="28"/>
      <x:c r="G84" s="30"/>
    </x:row>
    <x:row r="85">
      <x:c r="D85" s="26"/>
      <x:c r="E85" s="28"/>
      <x:c r="G85" s="30"/>
    </x:row>
    <x:row r="86">
      <x:c r="D86" s="26"/>
      <x:c r="E86" s="28"/>
      <x:c r="G86" s="30"/>
    </x:row>
    <x:row r="87">
      <x:c r="D87" s="26"/>
      <x:c r="E87" s="28"/>
      <x:c r="G87" s="30"/>
    </x:row>
    <x:row r="88">
      <x:c r="D88" s="26"/>
      <x:c r="E88" s="28"/>
      <x:c r="G88" s="30"/>
    </x:row>
    <x:row r="89">
      <x:c r="D89" s="26"/>
      <x:c r="E89" s="28"/>
      <x:c r="G89" s="30"/>
    </x:row>
    <x:row r="90">
      <x:c r="D90" s="26"/>
      <x:c r="E90" s="28"/>
      <x:c r="G90" s="30"/>
    </x:row>
    <x:row r="91">
      <x:c r="D91" s="26"/>
      <x:c r="E91" s="28"/>
      <x:c r="G91" s="30"/>
    </x:row>
    <x:row r="92">
      <x:c r="D92" s="26"/>
      <x:c r="E92" s="28"/>
      <x:c r="G92" s="30"/>
    </x:row>
    <x:row r="93">
      <x:c r="D93" s="26"/>
      <x:c r="E93" s="28"/>
      <x:c r="G93" s="30"/>
    </x:row>
    <x:row r="94">
      <x:c r="D94" s="26"/>
      <x:c r="E94" s="28"/>
      <x:c r="G94" s="30"/>
    </x:row>
    <x:row r="95">
      <x:c r="D95" s="26"/>
      <x:c r="E95" s="28"/>
      <x:c r="G95" s="30"/>
    </x:row>
    <x:row r="96">
      <x:c r="D96" s="26"/>
      <x:c r="E96" s="28"/>
      <x:c r="G96" s="30"/>
    </x:row>
    <x:row r="97">
      <x:c r="D97" s="26"/>
      <x:c r="E97" s="28"/>
      <x:c r="G97" s="30"/>
    </x:row>
    <x:row r="98">
      <x:c r="D98" s="26"/>
      <x:c r="E98" s="28"/>
      <x:c r="G98" s="30"/>
    </x:row>
    <x:row r="99">
      <x:c r="D99" s="26"/>
      <x:c r="E99" s="28"/>
      <x:c r="G99" s="30"/>
    </x:row>
    <x:row r="100">
      <x:c r="D100" s="26"/>
      <x:c r="E100" s="28"/>
      <x:c r="G100" s="30"/>
    </x:row>
  </x:sheetData>
  <x:conditionalFormatting sqref="D7:D100">
    <x:cfRule type="cellIs" dxfId="1" priority="1" operator="greaterThan">
      <x:formula>0.1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79325d1db64a5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70" hidden="0" customWidth="1"/>
    <x:col min="5" max="5" width="48" hidden="0" customWidth="1"/>
  </x:cols>
  <x:sheetData>
    <x:row r="1">
      <x:c r="A1" s="20" t="str">
        <x:v>Ref_ID</x:v>
      </x:c>
      <x:c r="B1" s="20" t="str">
        <x:v>Source</x:v>
      </x:c>
      <x:c r="C1" s="20" t="str">
        <x:v>Type</x:v>
      </x:c>
      <x:c r="D1" s="20" t="str">
        <x:v>URL</x:v>
      </x:c>
      <x:c r="E1" s="20" t="str">
        <x:v>Use</x:v>
      </x:c>
    </x:row>
    <x:row r="2">
      <x:c r="A2" t="str">
        <x:v>EFLORA_BC</x:v>
      </x:c>
      <x:c r="B2" t="str">
        <x:v>E-Flora BC: Electronic Atlas of the Flora of British Columbia</x:v>
      </x:c>
      <x:c r="C2" t="str">
        <x:v>Flora / taxonomy / distribution</x:v>
      </x:c>
      <x:c r="D2" t="str">
        <x:v>https://linnet.geog.ubc.ca/Atlas/Atlas.aspx</x:v>
      </x:c>
      <x:c r="E2" t="str">
        <x:v>BC taxonomy, distribution, life history, habitat notes</x:v>
      </x:c>
    </x:row>
    <x:row r="3">
      <x:c r="A3" t="str">
        <x:v>FVC_NATIVE_GUIDE</x:v>
      </x:c>
      <x:c r="B3" t="str">
        <x:v>Gardening with Native Plants in the Lower Mainland and Fraser Valley</x:v>
      </x:c>
      <x:c r="C3" t="str">
        <x:v>Regional native gardening guide</x:v>
      </x:c>
      <x:c r="D3" t="str">
        <x:v>https://fraservalleyconservancy.ca/wp-content/uploads/2021/02/FVC-Native-Plants-guide-Aug-2018-web-1.pdf</x:v>
      </x:c>
      <x:c r="E3" t="str">
        <x:v>Lower Mainland native plant gardening context and species recommendations</x:v>
      </x:c>
    </x:row>
    <x:row r="4">
      <x:c r="A4" t="str">
        <x:v>POLLINATOR_LM</x:v>
      </x:c>
      <x:c r="B4" t="str">
        <x:v>Selecting Plants for Pollinators in the Lower Mainland</x:v>
      </x:c>
      <x:c r="C4" t="str">
        <x:v>Pollinator planting guide</x:v>
      </x:c>
      <x:c r="D4" t="str">
        <x:v>https://pollinator.org/PDFs/Guides/LowerMainland.ver6.hires.pdf</x:v>
      </x:c>
      <x:c r="E4" t="str">
        <x:v>Pollinator planting context for Lower Mainland</x:v>
      </x:c>
    </x:row>
    <x:row r="5">
      <x:c r="A5" t="str">
        <x:v>COV_GRI</x:v>
      </x:c>
      <x:c r="B5" t="str">
        <x:v>City of Vancouver Green Rainwater Infrastructure Planting and Ecology Design Guidelines</x:v>
      </x:c>
      <x:c r="C5" t="str">
        <x:v>Municipal planting guideline</x:v>
      </x:c>
      <x:c r="D5" t="str">
        <x:v>https://vancouver.ca/files/cov/vancouver-gri-planting-guidelines.pdf</x:v>
      </x:c>
      <x:c r="E5" t="str">
        <x:v>Urban ecological planting guidance and mix-diversity rule of thumb</x:v>
      </x:c>
    </x:row>
    <x:row r="6">
      <x:c r="A6" t="str">
        <x:v>SCCP_NATIVE_RES</x:v>
      </x:c>
      <x:c r="B6" t="str">
        <x:v>Native Plant Resources on BC's South Coast</x:v>
      </x:c>
      <x:c r="C6" t="str">
        <x:v>Regional resource list</x:v>
      </x:c>
      <x:c r="D6" t="str">
        <x:v>https://www.sccp.ca/sites/default/files/resources/documents/Native%20Plant%20Resources%20Mar%202019%20v.2.pdf</x:v>
      </x:c>
      <x:c r="E6" t="str">
        <x:v>South Coast native plant resources and demonstration gardens</x:v>
      </x:c>
    </x:row>
    <x:row r="7">
      <x:c r="A7" t="str">
        <x:v>XERCES_PLANTS</x:v>
      </x:c>
      <x:c r="B7" t="str">
        <x:v>Xerces Society Pollinator Conservation Resource Center</x:v>
      </x:c>
      <x:c r="C7" t="str">
        <x:v>Pollinator conservation</x:v>
      </x:c>
      <x:c r="D7" t="str">
        <x:v>https://xerces.org/pollinator-conservation</x:v>
      </x:c>
      <x:c r="E7" t="str">
        <x:v>Pollinator habitat design principles and best-practice context</x:v>
      </x:c>
    </x:row>
  </x:sheetData>
  <x:pageMargins left="0.7" right="0.7" top="0.75" bottom="0.75" header="0.3" footer="0.3"/>
  <x:tableParts count="1">
    <x:tablePart xmlns:r="http://schemas.openxmlformats.org/officeDocument/2006/relationships" r:id="Re2c7f633ad654a2a"/>
  </x:tableParts>
</x:worksheet>
</file>